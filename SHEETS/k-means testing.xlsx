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icto\Documents\CSE 881\PROJECT\CSE881_PROJ\SHEETS\"/>
    </mc:Choice>
  </mc:AlternateContent>
  <xr:revisionPtr revIDLastSave="0" documentId="13_ncr:1_{CFC9597F-BA9B-49FE-9BD6-C6B10A1F327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_sample" sheetId="1" r:id="rId1"/>
    <sheet name="check 1 (regular)" sheetId="2" r:id="rId2"/>
    <sheet name="check 2 (weight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3" l="1" a="1"/>
  <c r="Q8" i="3" s="1"/>
  <c r="P8" i="3" a="1"/>
  <c r="P8" i="3" s="1"/>
  <c r="AP64" i="3" a="1"/>
  <c r="AP64" i="3" s="1"/>
  <c r="AP63" i="3" a="1"/>
  <c r="AP63" i="3" s="1"/>
  <c r="AP62" i="3" a="1"/>
  <c r="AP62" i="3" s="1"/>
  <c r="AT57" i="2"/>
  <c r="AT56" i="2"/>
  <c r="AT55" i="2"/>
  <c r="AR57" i="2"/>
  <c r="AR56" i="2"/>
  <c r="AR55" i="2"/>
  <c r="AP57" i="2" a="1"/>
  <c r="AP57" i="2" s="1"/>
  <c r="AP56" i="2" a="1"/>
  <c r="AP56" i="2" s="1"/>
  <c r="AP55" i="2" a="1"/>
  <c r="AP55" i="2" s="1"/>
  <c r="AL57" i="2"/>
  <c r="AL56" i="2"/>
  <c r="AL55" i="2"/>
  <c r="AB35" i="2" a="1"/>
  <c r="AB35" i="2" s="1"/>
  <c r="AF35" i="2" a="1"/>
  <c r="AF35" i="2" s="1"/>
  <c r="X35" i="2" a="1"/>
  <c r="X35" i="2" s="1"/>
  <c r="Z15" i="2" a="1"/>
  <c r="Z15" i="2" s="1"/>
  <c r="Y15" i="2" a="1"/>
  <c r="Y15" i="2" s="1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Q8" i="2" a="1"/>
  <c r="Q8" i="2" s="1"/>
  <c r="P8" i="2" a="1"/>
  <c r="P8" i="2" s="1"/>
  <c r="F11" i="2"/>
  <c r="F10" i="2"/>
  <c r="F9" i="2"/>
  <c r="F8" i="2"/>
  <c r="F7" i="2"/>
  <c r="F6" i="2"/>
  <c r="F5" i="2"/>
  <c r="F4" i="2"/>
  <c r="F3" i="2"/>
  <c r="F2" i="2"/>
  <c r="E11" i="2"/>
  <c r="E10" i="2"/>
  <c r="E9" i="2"/>
  <c r="E8" i="2"/>
  <c r="E7" i="2"/>
  <c r="E6" i="2"/>
  <c r="E5" i="2"/>
  <c r="E4" i="2"/>
  <c r="E3" i="2"/>
  <c r="E2" i="2"/>
  <c r="AP50" i="3" a="1"/>
  <c r="AP50" i="3" s="1"/>
  <c r="AO50" i="3" a="1"/>
  <c r="AO50" i="3" s="1"/>
  <c r="AP49" i="3" a="1"/>
  <c r="AP49" i="3" s="1"/>
  <c r="AO49" i="3" a="1"/>
  <c r="AO49" i="3" s="1"/>
  <c r="AP48" i="3" a="1"/>
  <c r="AP48" i="3" s="1"/>
  <c r="AO48" i="3" a="1"/>
  <c r="AO48" i="3" s="1"/>
  <c r="AP43" i="3" a="1"/>
  <c r="AP43" i="3" s="1"/>
  <c r="AO43" i="3" a="1"/>
  <c r="AO43" i="3" s="1"/>
  <c r="AP42" i="3" a="1"/>
  <c r="AP42" i="3" s="1"/>
  <c r="AO42" i="3" a="1"/>
  <c r="AO42" i="3" s="1"/>
  <c r="AP41" i="3" a="1"/>
  <c r="AP41" i="3" s="1"/>
  <c r="AO41" i="3" a="1"/>
  <c r="AO41" i="3" s="1"/>
  <c r="AP36" i="3" a="1"/>
  <c r="AP36" i="3" s="1"/>
  <c r="AO36" i="3" a="1"/>
  <c r="AO36" i="3" s="1"/>
  <c r="AP35" i="3" a="1"/>
  <c r="AP35" i="3" s="1"/>
  <c r="AO35" i="3" a="1"/>
  <c r="AO35" i="3" s="1"/>
  <c r="AP34" i="3" a="1"/>
  <c r="AP34" i="3" s="1"/>
  <c r="AO34" i="3" a="1"/>
  <c r="AO34" i="3" s="1"/>
  <c r="AP29" i="3" a="1"/>
  <c r="AP29" i="3" s="1"/>
  <c r="AO29" i="3" a="1"/>
  <c r="AO29" i="3" s="1"/>
  <c r="AP28" i="3" a="1"/>
  <c r="AP28" i="3" s="1"/>
  <c r="AO28" i="3" a="1"/>
  <c r="AO28" i="3" s="1"/>
  <c r="AP27" i="3" a="1"/>
  <c r="AP27" i="3" s="1"/>
  <c r="AO27" i="3" a="1"/>
  <c r="AO27" i="3" s="1"/>
  <c r="C14" i="3"/>
  <c r="B14" i="3"/>
  <c r="C13" i="3"/>
  <c r="B13" i="3"/>
  <c r="Y5" i="3" a="1"/>
  <c r="Y5" i="3" s="1"/>
  <c r="AP50" i="2" a="1"/>
  <c r="AP50" i="2" s="1"/>
  <c r="AP49" i="2" a="1"/>
  <c r="AP49" i="2" s="1"/>
  <c r="AP48" i="2" a="1"/>
  <c r="AP48" i="2" s="1"/>
  <c r="AP43" i="2" a="1"/>
  <c r="AP43" i="2" s="1"/>
  <c r="AP42" i="2" a="1"/>
  <c r="AP42" i="2" s="1"/>
  <c r="AP41" i="2" a="1"/>
  <c r="AP41" i="2" s="1"/>
  <c r="AP29" i="2" a="1"/>
  <c r="AP29" i="2" s="1"/>
  <c r="AP28" i="2" a="1"/>
  <c r="AP28" i="2" s="1"/>
  <c r="AP27" i="2" a="1"/>
  <c r="AP27" i="2" s="1"/>
  <c r="AP36" i="2" a="1"/>
  <c r="AP36" i="2" s="1"/>
  <c r="AP34" i="2" a="1"/>
  <c r="AP34" i="2" s="1"/>
  <c r="AP35" i="2" a="1"/>
  <c r="AP35" i="2" s="1"/>
  <c r="AO50" i="2" a="1"/>
  <c r="AO50" i="2" s="1"/>
  <c r="AO49" i="2" a="1"/>
  <c r="AO49" i="2" s="1"/>
  <c r="AO48" i="2" a="1"/>
  <c r="AO48" i="2" s="1"/>
  <c r="AO43" i="2" a="1"/>
  <c r="AO43" i="2" s="1"/>
  <c r="AO42" i="2" a="1"/>
  <c r="AO42" i="2" s="1"/>
  <c r="AO41" i="2" a="1"/>
  <c r="AO41" i="2" s="1"/>
  <c r="AO29" i="2" a="1"/>
  <c r="AO29" i="2" s="1"/>
  <c r="AO28" i="2" a="1"/>
  <c r="AO28" i="2" s="1"/>
  <c r="AO27" i="2" a="1"/>
  <c r="AO27" i="2" s="1"/>
  <c r="AO36" i="2" a="1"/>
  <c r="AO36" i="2" s="1"/>
  <c r="AO34" i="2" a="1"/>
  <c r="AO34" i="2" s="1"/>
  <c r="AO35" i="2" a="1"/>
  <c r="AO35" i="2" s="1"/>
  <c r="Z15" i="3" l="1" a="1"/>
  <c r="Z15" i="3" s="1"/>
  <c r="Y15" i="3" a="1"/>
  <c r="Y15" i="3" s="1"/>
  <c r="T6" i="3"/>
  <c r="S6" i="3"/>
  <c r="C14" i="2"/>
  <c r="B14" i="2"/>
  <c r="Y5" i="2" a="1"/>
  <c r="Y5" i="2" s="1"/>
  <c r="C13" i="2"/>
  <c r="B13" i="2"/>
  <c r="S5" i="3" l="1"/>
  <c r="R6" i="3"/>
  <c r="R5" i="3"/>
  <c r="R4" i="3" s="1"/>
  <c r="T5" i="3"/>
  <c r="T4" i="3" s="1"/>
  <c r="S4" i="3"/>
  <c r="R6" i="2"/>
  <c r="S6" i="2"/>
  <c r="T6" i="2"/>
  <c r="R5" i="2"/>
  <c r="T5" i="2"/>
  <c r="AI6" i="3" l="1" a="1"/>
  <c r="AI6" i="3" s="1"/>
  <c r="AL27" i="3" s="1" a="1"/>
  <c r="P28" i="3"/>
  <c r="S14" i="3"/>
  <c r="R16" i="3"/>
  <c r="T9" i="3"/>
  <c r="T16" i="3"/>
  <c r="R14" i="3"/>
  <c r="T12" i="3"/>
  <c r="R12" i="3"/>
  <c r="U12" i="3" s="1"/>
  <c r="R17" i="3"/>
  <c r="P33" i="3"/>
  <c r="P31" i="3"/>
  <c r="S16" i="3"/>
  <c r="S12" i="3"/>
  <c r="P35" i="3"/>
  <c r="P29" i="3"/>
  <c r="P27" i="3"/>
  <c r="T10" i="3"/>
  <c r="S9" i="3"/>
  <c r="T11" i="3"/>
  <c r="S10" i="3"/>
  <c r="R9" i="3"/>
  <c r="T14" i="3"/>
  <c r="T13" i="3"/>
  <c r="S11" i="3"/>
  <c r="R10" i="3"/>
  <c r="T15" i="3"/>
  <c r="S13" i="3"/>
  <c r="R11" i="3"/>
  <c r="P34" i="3"/>
  <c r="P32" i="3"/>
  <c r="P30" i="3"/>
  <c r="S15" i="3"/>
  <c r="R13" i="3"/>
  <c r="T17" i="3"/>
  <c r="R15" i="3"/>
  <c r="S17" i="3"/>
  <c r="Q29" i="3"/>
  <c r="Q47" i="3" s="1"/>
  <c r="Q65" i="3" s="1"/>
  <c r="Q83" i="3" s="1"/>
  <c r="Q27" i="3"/>
  <c r="Q45" i="3" s="1"/>
  <c r="Q63" i="3" s="1"/>
  <c r="Q81" i="3" s="1"/>
  <c r="Q33" i="3"/>
  <c r="Q51" i="3" s="1"/>
  <c r="Q69" i="3" s="1"/>
  <c r="Q87" i="3" s="1"/>
  <c r="Q31" i="3"/>
  <c r="Q49" i="3" s="1"/>
  <c r="Q67" i="3" s="1"/>
  <c r="Q85" i="3" s="1"/>
  <c r="Q28" i="3"/>
  <c r="Q46" i="3" s="1"/>
  <c r="Q64" i="3" s="1"/>
  <c r="Q82" i="3" s="1"/>
  <c r="Q35" i="3"/>
  <c r="Q53" i="3" s="1"/>
  <c r="Q71" i="3" s="1"/>
  <c r="Q89" i="3" s="1"/>
  <c r="Q26" i="3"/>
  <c r="Q44" i="3" s="1"/>
  <c r="Q62" i="3" s="1"/>
  <c r="Q80" i="3" s="1"/>
  <c r="Q34" i="3"/>
  <c r="Q52" i="3" s="1"/>
  <c r="Q70" i="3" s="1"/>
  <c r="Q88" i="3" s="1"/>
  <c r="Q32" i="3"/>
  <c r="Q50" i="3" s="1"/>
  <c r="Q68" i="3" s="1"/>
  <c r="Q86" i="3" s="1"/>
  <c r="Q30" i="3"/>
  <c r="Q48" i="3" s="1"/>
  <c r="Q66" i="3" s="1"/>
  <c r="Q84" i="3" s="1"/>
  <c r="T4" i="2"/>
  <c r="R4" i="2"/>
  <c r="S5" i="2"/>
  <c r="S4" i="2" s="1"/>
  <c r="U13" i="3" l="1"/>
  <c r="U9" i="3"/>
  <c r="U17" i="3"/>
  <c r="AQ29" i="3"/>
  <c r="AS29" i="3" s="1"/>
  <c r="AR29" i="3"/>
  <c r="AT29" i="3" s="1"/>
  <c r="AR28" i="3"/>
  <c r="AT28" i="3" s="1"/>
  <c r="AQ28" i="3"/>
  <c r="AS28" i="3" s="1"/>
  <c r="AL27" i="3"/>
  <c r="P52" i="3"/>
  <c r="T8" i="3"/>
  <c r="S8" i="3"/>
  <c r="R8" i="3"/>
  <c r="U8" i="3" s="1"/>
  <c r="P26" i="3"/>
  <c r="P51" i="3"/>
  <c r="P48" i="3"/>
  <c r="U14" i="3"/>
  <c r="U10" i="3"/>
  <c r="P46" i="3"/>
  <c r="P50" i="3"/>
  <c r="P45" i="3"/>
  <c r="U16" i="3"/>
  <c r="U15" i="3"/>
  <c r="U11" i="3"/>
  <c r="P47" i="3"/>
  <c r="P53" i="3"/>
  <c r="P49" i="3"/>
  <c r="AI6" i="2" a="1"/>
  <c r="Q26" i="2"/>
  <c r="Q44" i="2" s="1"/>
  <c r="Q62" i="2" s="1"/>
  <c r="Q80" i="2" s="1"/>
  <c r="Q33" i="2"/>
  <c r="Q51" i="2" s="1"/>
  <c r="Q69" i="2" s="1"/>
  <c r="Q87" i="2" s="1"/>
  <c r="Q30" i="2"/>
  <c r="Q48" i="2" s="1"/>
  <c r="Q66" i="2" s="1"/>
  <c r="Q84" i="2" s="1"/>
  <c r="Q35" i="2"/>
  <c r="Q53" i="2" s="1"/>
  <c r="Q71" i="2" s="1"/>
  <c r="Q89" i="2" s="1"/>
  <c r="Q29" i="2"/>
  <c r="Q47" i="2" s="1"/>
  <c r="Q65" i="2" s="1"/>
  <c r="Q83" i="2" s="1"/>
  <c r="Q32" i="2"/>
  <c r="Q50" i="2" s="1"/>
  <c r="Q68" i="2" s="1"/>
  <c r="Q86" i="2" s="1"/>
  <c r="Q34" i="2"/>
  <c r="Q52" i="2" s="1"/>
  <c r="Q70" i="2" s="1"/>
  <c r="Q88" i="2" s="1"/>
  <c r="Q28" i="2"/>
  <c r="Q46" i="2" s="1"/>
  <c r="Q64" i="2" s="1"/>
  <c r="Q82" i="2" s="1"/>
  <c r="Q27" i="2"/>
  <c r="Q45" i="2" s="1"/>
  <c r="Q63" i="2" s="1"/>
  <c r="Q81" i="2" s="1"/>
  <c r="Q31" i="2"/>
  <c r="Q49" i="2" s="1"/>
  <c r="Q67" i="2" s="1"/>
  <c r="Q85" i="2" s="1"/>
  <c r="P30" i="2"/>
  <c r="P48" i="2" s="1"/>
  <c r="P66" i="2" s="1"/>
  <c r="P84" i="2" s="1"/>
  <c r="T16" i="2"/>
  <c r="S12" i="2"/>
  <c r="R14" i="2"/>
  <c r="S17" i="2"/>
  <c r="S16" i="2"/>
  <c r="T11" i="2"/>
  <c r="P34" i="2"/>
  <c r="P52" i="2" s="1"/>
  <c r="P70" i="2" s="1"/>
  <c r="P88" i="2" s="1"/>
  <c r="P28" i="2"/>
  <c r="P46" i="2" s="1"/>
  <c r="P64" i="2" s="1"/>
  <c r="P82" i="2" s="1"/>
  <c r="P32" i="2"/>
  <c r="P50" i="2" s="1"/>
  <c r="P68" i="2" s="1"/>
  <c r="P86" i="2" s="1"/>
  <c r="T13" i="2"/>
  <c r="T17" i="2"/>
  <c r="S13" i="2"/>
  <c r="R16" i="2"/>
  <c r="P35" i="2"/>
  <c r="P53" i="2" s="1"/>
  <c r="P71" i="2" s="1"/>
  <c r="P89" i="2" s="1"/>
  <c r="P29" i="2"/>
  <c r="P47" i="2" s="1"/>
  <c r="P65" i="2" s="1"/>
  <c r="P83" i="2" s="1"/>
  <c r="T15" i="2"/>
  <c r="R9" i="2"/>
  <c r="R13" i="2"/>
  <c r="R17" i="2"/>
  <c r="R12" i="2"/>
  <c r="S15" i="2"/>
  <c r="S11" i="2"/>
  <c r="R15" i="2"/>
  <c r="S10" i="2"/>
  <c r="T14" i="2"/>
  <c r="T9" i="2"/>
  <c r="P33" i="2"/>
  <c r="P51" i="2" s="1"/>
  <c r="P69" i="2" s="1"/>
  <c r="P87" i="2" s="1"/>
  <c r="S14" i="2"/>
  <c r="P31" i="2"/>
  <c r="P49" i="2" s="1"/>
  <c r="P67" i="2" s="1"/>
  <c r="P85" i="2" s="1"/>
  <c r="T12" i="2"/>
  <c r="R11" i="2"/>
  <c r="R10" i="2"/>
  <c r="T10" i="2"/>
  <c r="P27" i="2"/>
  <c r="P45" i="2" s="1"/>
  <c r="P63" i="2" s="1"/>
  <c r="P81" i="2" s="1"/>
  <c r="S9" i="2"/>
  <c r="U9" i="2" l="1"/>
  <c r="P63" i="3"/>
  <c r="P69" i="3"/>
  <c r="AR27" i="3"/>
  <c r="AT27" i="3" s="1"/>
  <c r="AQ27" i="3"/>
  <c r="AS27" i="3" s="1"/>
  <c r="P71" i="3"/>
  <c r="P68" i="3"/>
  <c r="P66" i="3"/>
  <c r="P70" i="3"/>
  <c r="S24" i="3"/>
  <c r="R24" i="3"/>
  <c r="Y7" i="3" a="1"/>
  <c r="Y7" i="3" s="1"/>
  <c r="T23" i="3"/>
  <c r="S23" i="3"/>
  <c r="R23" i="3"/>
  <c r="T24" i="3"/>
  <c r="P65" i="3"/>
  <c r="P67" i="3"/>
  <c r="P64" i="3"/>
  <c r="P44" i="3"/>
  <c r="AI6" i="2"/>
  <c r="AL27" i="2" a="1"/>
  <c r="U15" i="2"/>
  <c r="U12" i="2"/>
  <c r="U17" i="2"/>
  <c r="P26" i="2"/>
  <c r="T8" i="2"/>
  <c r="S8" i="2"/>
  <c r="R8" i="2"/>
  <c r="U11" i="2"/>
  <c r="U14" i="2"/>
  <c r="U10" i="2"/>
  <c r="U13" i="2"/>
  <c r="U16" i="2"/>
  <c r="AL27" i="2" l="1"/>
  <c r="AR29" i="2"/>
  <c r="AT29" i="2" s="1"/>
  <c r="AR28" i="2"/>
  <c r="AT28" i="2" s="1"/>
  <c r="AQ29" i="2"/>
  <c r="AS29" i="2" s="1"/>
  <c r="AQ28" i="2"/>
  <c r="AS28" i="2" s="1"/>
  <c r="S26" i="3"/>
  <c r="P82" i="3"/>
  <c r="T22" i="3"/>
  <c r="T28" i="3"/>
  <c r="T31" i="3"/>
  <c r="T33" i="3"/>
  <c r="T34" i="3"/>
  <c r="T35" i="3"/>
  <c r="T29" i="3"/>
  <c r="T30" i="3"/>
  <c r="T32" i="3"/>
  <c r="T27" i="3"/>
  <c r="P86" i="3"/>
  <c r="P87" i="3"/>
  <c r="P85" i="3"/>
  <c r="P83" i="3"/>
  <c r="P89" i="3"/>
  <c r="P84" i="3"/>
  <c r="S22" i="3"/>
  <c r="S32" i="3"/>
  <c r="S34" i="3"/>
  <c r="S35" i="3"/>
  <c r="S31" i="3"/>
  <c r="S33" i="3"/>
  <c r="S28" i="3"/>
  <c r="S30" i="3"/>
  <c r="S29" i="3"/>
  <c r="S27" i="3"/>
  <c r="P81" i="3"/>
  <c r="P62" i="3"/>
  <c r="T26" i="3"/>
  <c r="R22" i="3"/>
  <c r="R33" i="3"/>
  <c r="R29" i="3"/>
  <c r="R32" i="3"/>
  <c r="R30" i="3"/>
  <c r="R34" i="3"/>
  <c r="R27" i="3"/>
  <c r="R31" i="3"/>
  <c r="R35" i="3"/>
  <c r="R28" i="3"/>
  <c r="P88" i="3"/>
  <c r="R26" i="3"/>
  <c r="U26" i="3" s="1"/>
  <c r="P44" i="2"/>
  <c r="P62" i="2" s="1"/>
  <c r="P80" i="2" s="1"/>
  <c r="U8" i="2"/>
  <c r="AQ27" i="2" l="1"/>
  <c r="AS27" i="2" s="1"/>
  <c r="AR27" i="2"/>
  <c r="AT27" i="2" s="1"/>
  <c r="AI7" i="3" a="1"/>
  <c r="AI7" i="3" s="1"/>
  <c r="AL34" i="3" s="1" a="1"/>
  <c r="U33" i="3"/>
  <c r="U31" i="3"/>
  <c r="U29" i="3"/>
  <c r="P80" i="3"/>
  <c r="U28" i="3"/>
  <c r="U27" i="3"/>
  <c r="U30" i="3"/>
  <c r="U35" i="3"/>
  <c r="U34" i="3"/>
  <c r="U32" i="3"/>
  <c r="R23" i="2"/>
  <c r="T23" i="2"/>
  <c r="Y7" i="2" a="1"/>
  <c r="Y7" i="2" s="1"/>
  <c r="T24" i="2"/>
  <c r="S23" i="2"/>
  <c r="R24" i="2"/>
  <c r="S24" i="2"/>
  <c r="R41" i="3" l="1"/>
  <c r="T42" i="3"/>
  <c r="S41" i="3"/>
  <c r="R42" i="3"/>
  <c r="R40" i="3" s="1"/>
  <c r="T41" i="3"/>
  <c r="S42" i="3"/>
  <c r="Y8" i="3" a="1"/>
  <c r="Y8" i="3" s="1"/>
  <c r="AQ35" i="3"/>
  <c r="AS35" i="3" s="1"/>
  <c r="AL34" i="3"/>
  <c r="AQ36" i="3"/>
  <c r="AS36" i="3" s="1"/>
  <c r="AR36" i="3"/>
  <c r="AT36" i="3" s="1"/>
  <c r="AR35" i="3"/>
  <c r="AT35" i="3" s="1"/>
  <c r="S29" i="2"/>
  <c r="S35" i="2"/>
  <c r="S34" i="2"/>
  <c r="S32" i="2"/>
  <c r="S22" i="2"/>
  <c r="S28" i="2"/>
  <c r="S31" i="2"/>
  <c r="S30" i="2"/>
  <c r="S33" i="2"/>
  <c r="S27" i="2"/>
  <c r="S26" i="2"/>
  <c r="T22" i="2"/>
  <c r="T35" i="2"/>
  <c r="T34" i="2"/>
  <c r="T29" i="2"/>
  <c r="T33" i="2"/>
  <c r="T31" i="2"/>
  <c r="T28" i="2"/>
  <c r="T27" i="2"/>
  <c r="T30" i="2"/>
  <c r="T32" i="2"/>
  <c r="T26" i="2"/>
  <c r="R35" i="2"/>
  <c r="U35" i="2" s="1"/>
  <c r="R33" i="2"/>
  <c r="U33" i="2" s="1"/>
  <c r="R29" i="2"/>
  <c r="R32" i="2"/>
  <c r="R22" i="2"/>
  <c r="R27" i="2"/>
  <c r="R31" i="2"/>
  <c r="R30" i="2"/>
  <c r="R34" i="2"/>
  <c r="U34" i="2" s="1"/>
  <c r="R28" i="2"/>
  <c r="U28" i="2" s="1"/>
  <c r="R26" i="2"/>
  <c r="R44" i="3" l="1"/>
  <c r="R50" i="3"/>
  <c r="R48" i="3"/>
  <c r="R47" i="3"/>
  <c r="R45" i="3"/>
  <c r="R49" i="3"/>
  <c r="R46" i="3"/>
  <c r="R53" i="3"/>
  <c r="R51" i="3"/>
  <c r="S40" i="3"/>
  <c r="S45" i="3"/>
  <c r="U45" i="3" s="1"/>
  <c r="S53" i="3"/>
  <c r="S49" i="3"/>
  <c r="S51" i="3"/>
  <c r="S46" i="3"/>
  <c r="S52" i="3"/>
  <c r="S50" i="3"/>
  <c r="S47" i="3"/>
  <c r="U47" i="3" s="1"/>
  <c r="S48" i="3"/>
  <c r="U48" i="3" s="1"/>
  <c r="S44" i="3"/>
  <c r="AR34" i="3"/>
  <c r="AT34" i="3" s="1"/>
  <c r="AQ34" i="3"/>
  <c r="AS34" i="3" s="1"/>
  <c r="U49" i="3"/>
  <c r="T40" i="3"/>
  <c r="T47" i="3"/>
  <c r="T45" i="3"/>
  <c r="T51" i="3"/>
  <c r="T46" i="3"/>
  <c r="T48" i="3"/>
  <c r="T52" i="3"/>
  <c r="T53" i="3"/>
  <c r="T49" i="3"/>
  <c r="T50" i="3"/>
  <c r="T44" i="3"/>
  <c r="R52" i="3"/>
  <c r="U29" i="2"/>
  <c r="U26" i="2"/>
  <c r="U30" i="2"/>
  <c r="U31" i="2"/>
  <c r="U27" i="2"/>
  <c r="AI7" i="2" a="1"/>
  <c r="U32" i="2"/>
  <c r="AI8" i="3" l="1" a="1"/>
  <c r="U53" i="3"/>
  <c r="U44" i="3"/>
  <c r="U46" i="3"/>
  <c r="U51" i="3"/>
  <c r="U50" i="3"/>
  <c r="AI8" i="3"/>
  <c r="AL41" i="3" s="1" a="1"/>
  <c r="U52" i="3"/>
  <c r="T59" i="3" s="1"/>
  <c r="AI7" i="2"/>
  <c r="AL34" i="2" a="1"/>
  <c r="T42" i="2"/>
  <c r="R41" i="2"/>
  <c r="S42" i="2"/>
  <c r="Y8" i="2" a="1"/>
  <c r="Y8" i="2" s="1"/>
  <c r="R42" i="2"/>
  <c r="T41" i="2"/>
  <c r="S41" i="2"/>
  <c r="AL34" i="2" l="1"/>
  <c r="AR36" i="2"/>
  <c r="AT36" i="2" s="1"/>
  <c r="AR35" i="2"/>
  <c r="AT35" i="2" s="1"/>
  <c r="AQ36" i="2"/>
  <c r="AS36" i="2" s="1"/>
  <c r="AQ35" i="2"/>
  <c r="AS35" i="2" s="1"/>
  <c r="Y9" i="3" a="1"/>
  <c r="Y9" i="3" s="1"/>
  <c r="S60" i="3"/>
  <c r="R60" i="3"/>
  <c r="S59" i="3"/>
  <c r="AL41" i="3"/>
  <c r="AR43" i="3"/>
  <c r="AT43" i="3" s="1"/>
  <c r="AR42" i="3"/>
  <c r="AT42" i="3" s="1"/>
  <c r="AQ42" i="3"/>
  <c r="AS42" i="3" s="1"/>
  <c r="AQ43" i="3"/>
  <c r="AS43" i="3" s="1"/>
  <c r="T60" i="3"/>
  <c r="T58" i="3" s="1"/>
  <c r="R59" i="3"/>
  <c r="S48" i="2"/>
  <c r="S53" i="2"/>
  <c r="S51" i="2"/>
  <c r="S44" i="2"/>
  <c r="S40" i="2"/>
  <c r="S45" i="2"/>
  <c r="S52" i="2"/>
  <c r="S50" i="2"/>
  <c r="S47" i="2"/>
  <c r="S46" i="2"/>
  <c r="S49" i="2"/>
  <c r="T52" i="2"/>
  <c r="T50" i="2"/>
  <c r="T40" i="2"/>
  <c r="T49" i="2"/>
  <c r="T46" i="2"/>
  <c r="T51" i="2"/>
  <c r="T44" i="2"/>
  <c r="T53" i="2"/>
  <c r="T45" i="2"/>
  <c r="T47" i="2"/>
  <c r="T48" i="2"/>
  <c r="R53" i="2"/>
  <c r="R40" i="2"/>
  <c r="R45" i="2"/>
  <c r="R51" i="2"/>
  <c r="R49" i="2"/>
  <c r="R46" i="2"/>
  <c r="R44" i="2"/>
  <c r="R50" i="2"/>
  <c r="R48" i="2"/>
  <c r="R47" i="2"/>
  <c r="R52" i="2"/>
  <c r="AI8" i="2" l="1" a="1"/>
  <c r="U53" i="2"/>
  <c r="AQ34" i="2"/>
  <c r="AS34" i="2" s="1"/>
  <c r="AR34" i="2"/>
  <c r="AT34" i="2" s="1"/>
  <c r="T62" i="3"/>
  <c r="T65" i="3"/>
  <c r="R58" i="3"/>
  <c r="R66" i="3"/>
  <c r="R63" i="3"/>
  <c r="U63" i="3" s="1"/>
  <c r="R64" i="3"/>
  <c r="R65" i="3"/>
  <c r="U65" i="3" s="1"/>
  <c r="R68" i="3"/>
  <c r="R70" i="3"/>
  <c r="R69" i="3"/>
  <c r="R71" i="3"/>
  <c r="R67" i="3"/>
  <c r="R62" i="3"/>
  <c r="T69" i="3"/>
  <c r="T63" i="3"/>
  <c r="T71" i="3"/>
  <c r="T67" i="3"/>
  <c r="T64" i="3"/>
  <c r="T68" i="3"/>
  <c r="T66" i="3"/>
  <c r="AR41" i="3"/>
  <c r="AT41" i="3" s="1"/>
  <c r="AQ41" i="3"/>
  <c r="AS41" i="3" s="1"/>
  <c r="T70" i="3"/>
  <c r="S58" i="3"/>
  <c r="S64" i="3"/>
  <c r="S67" i="3"/>
  <c r="S63" i="3"/>
  <c r="S68" i="3"/>
  <c r="S65" i="3"/>
  <c r="S69" i="3"/>
  <c r="S70" i="3"/>
  <c r="S71" i="3"/>
  <c r="S66" i="3"/>
  <c r="S62" i="3"/>
  <c r="AI8" i="2"/>
  <c r="AL41" i="2" a="1"/>
  <c r="U47" i="2"/>
  <c r="U52" i="2"/>
  <c r="U48" i="2"/>
  <c r="U50" i="2"/>
  <c r="U44" i="2"/>
  <c r="U46" i="2"/>
  <c r="U49" i="2"/>
  <c r="U51" i="2"/>
  <c r="U45" i="2"/>
  <c r="U68" i="3" l="1"/>
  <c r="U67" i="3"/>
  <c r="U71" i="3"/>
  <c r="U69" i="3"/>
  <c r="AL41" i="2"/>
  <c r="AR43" i="2"/>
  <c r="AT43" i="2" s="1"/>
  <c r="AQ43" i="2"/>
  <c r="AS43" i="2" s="1"/>
  <c r="AR42" i="2"/>
  <c r="AT42" i="2" s="1"/>
  <c r="AQ42" i="2"/>
  <c r="AS42" i="2" s="1"/>
  <c r="U62" i="3"/>
  <c r="U64" i="3"/>
  <c r="AI9" i="3" a="1"/>
  <c r="U70" i="3"/>
  <c r="U66" i="3"/>
  <c r="R59" i="2"/>
  <c r="Y9" i="2" a="1"/>
  <c r="Y9" i="2" s="1"/>
  <c r="T59" i="2"/>
  <c r="T60" i="2"/>
  <c r="R60" i="2"/>
  <c r="S60" i="2"/>
  <c r="S59" i="2"/>
  <c r="AQ41" i="2" l="1"/>
  <c r="AS41" i="2" s="1"/>
  <c r="AR41" i="2"/>
  <c r="AT41" i="2" s="1"/>
  <c r="S77" i="3"/>
  <c r="T78" i="3"/>
  <c r="AI9" i="3"/>
  <c r="AL48" i="3" s="1" a="1"/>
  <c r="R77" i="3"/>
  <c r="T77" i="3"/>
  <c r="S78" i="3"/>
  <c r="AB28" i="3" s="1" a="1"/>
  <c r="AB28" i="3" s="1"/>
  <c r="Y10" i="3" a="1"/>
  <c r="R78" i="3"/>
  <c r="S62" i="2"/>
  <c r="S69" i="2"/>
  <c r="S67" i="2"/>
  <c r="S64" i="2"/>
  <c r="S66" i="2"/>
  <c r="S63" i="2"/>
  <c r="S70" i="2"/>
  <c r="S65" i="2"/>
  <c r="S58" i="2"/>
  <c r="S68" i="2"/>
  <c r="S71" i="2"/>
  <c r="T70" i="2"/>
  <c r="T66" i="2"/>
  <c r="T68" i="2"/>
  <c r="T67" i="2"/>
  <c r="T69" i="2"/>
  <c r="T62" i="2"/>
  <c r="T65" i="2"/>
  <c r="T58" i="2"/>
  <c r="T71" i="2"/>
  <c r="T63" i="2"/>
  <c r="T64" i="2"/>
  <c r="R69" i="2"/>
  <c r="R70" i="2"/>
  <c r="R68" i="2"/>
  <c r="R63" i="2"/>
  <c r="R71" i="2"/>
  <c r="R58" i="2"/>
  <c r="R65" i="2"/>
  <c r="R64" i="2"/>
  <c r="R66" i="2"/>
  <c r="R67" i="2"/>
  <c r="U67" i="2" s="1"/>
  <c r="R62" i="2"/>
  <c r="U66" i="2" l="1"/>
  <c r="U62" i="2"/>
  <c r="U69" i="2"/>
  <c r="S83" i="3"/>
  <c r="S80" i="3"/>
  <c r="S81" i="3"/>
  <c r="S85" i="3"/>
  <c r="S87" i="3"/>
  <c r="S82" i="3"/>
  <c r="S89" i="3"/>
  <c r="AF28" i="3" a="1"/>
  <c r="AF28" i="3" s="1"/>
  <c r="T76" i="3"/>
  <c r="T89" i="3"/>
  <c r="T85" i="3"/>
  <c r="T84" i="3"/>
  <c r="T86" i="3"/>
  <c r="T83" i="3"/>
  <c r="T81" i="3"/>
  <c r="T87" i="3"/>
  <c r="T88" i="3"/>
  <c r="T82" i="3"/>
  <c r="T80" i="3"/>
  <c r="S84" i="3"/>
  <c r="S88" i="3"/>
  <c r="Y10" i="3"/>
  <c r="AA15" i="3" a="1"/>
  <c r="S86" i="3"/>
  <c r="X28" i="3" a="1"/>
  <c r="X28" i="3" s="1"/>
  <c r="R76" i="3"/>
  <c r="R81" i="3"/>
  <c r="R88" i="3"/>
  <c r="R84" i="3"/>
  <c r="R86" i="3"/>
  <c r="R87" i="3"/>
  <c r="R82" i="3"/>
  <c r="R89" i="3"/>
  <c r="R83" i="3"/>
  <c r="R85" i="3"/>
  <c r="R80" i="3"/>
  <c r="S76" i="3"/>
  <c r="AL48" i="3"/>
  <c r="AR50" i="3"/>
  <c r="AT50" i="3" s="1"/>
  <c r="AQ50" i="3"/>
  <c r="AS50" i="3" s="1"/>
  <c r="AR49" i="3"/>
  <c r="AT49" i="3" s="1"/>
  <c r="AQ49" i="3"/>
  <c r="AS49" i="3" s="1"/>
  <c r="U70" i="2"/>
  <c r="U64" i="2"/>
  <c r="U71" i="2"/>
  <c r="U65" i="2"/>
  <c r="U63" i="2"/>
  <c r="AI9" i="2" a="1"/>
  <c r="U68" i="2"/>
  <c r="U81" i="3" l="1"/>
  <c r="U80" i="3"/>
  <c r="U85" i="3"/>
  <c r="U84" i="3"/>
  <c r="AI10" i="3" a="1"/>
  <c r="AI10" i="3" s="1"/>
  <c r="U88" i="3"/>
  <c r="AR48" i="3"/>
  <c r="AT48" i="3" s="1"/>
  <c r="AQ48" i="3"/>
  <c r="AS48" i="3" s="1"/>
  <c r="AA15" i="3"/>
  <c r="AF29" i="3" s="1" a="1"/>
  <c r="AF29" i="3" s="1"/>
  <c r="AG29" i="3" a="1"/>
  <c r="AG29" i="3" s="1"/>
  <c r="U83" i="3"/>
  <c r="U89" i="3"/>
  <c r="U82" i="3"/>
  <c r="U87" i="3"/>
  <c r="U86" i="3"/>
  <c r="AI9" i="2"/>
  <c r="AL48" i="2" a="1"/>
  <c r="R78" i="2"/>
  <c r="R77" i="2"/>
  <c r="T78" i="2"/>
  <c r="Y10" i="2" a="1"/>
  <c r="T77" i="2"/>
  <c r="S77" i="2"/>
  <c r="S78" i="2"/>
  <c r="AE29" i="3" l="1" a="1"/>
  <c r="AE29" i="3" s="1"/>
  <c r="W29" i="3" a="1"/>
  <c r="W29" i="3" s="1"/>
  <c r="Y29" i="3" a="1"/>
  <c r="Y29" i="3" s="1"/>
  <c r="AF35" i="3" a="1"/>
  <c r="AF35" i="3" s="1"/>
  <c r="AL64" i="3" s="1"/>
  <c r="AR64" i="3" s="1"/>
  <c r="AT64" i="3" s="1"/>
  <c r="X35" i="3" a="1"/>
  <c r="X35" i="3" s="1"/>
  <c r="AL62" i="3" s="1"/>
  <c r="AR62" i="3" s="1"/>
  <c r="AT62" i="3" s="1"/>
  <c r="AB35" i="3" a="1"/>
  <c r="AB35" i="3" s="1"/>
  <c r="AL63" i="3" s="1"/>
  <c r="AR63" i="3" s="1"/>
  <c r="AT63" i="3" s="1"/>
  <c r="AL48" i="2"/>
  <c r="AR50" i="2"/>
  <c r="AT50" i="2" s="1"/>
  <c r="AQ50" i="2"/>
  <c r="AS50" i="2" s="1"/>
  <c r="AR49" i="2"/>
  <c r="AT49" i="2" s="1"/>
  <c r="AQ49" i="2"/>
  <c r="AS49" i="2" s="1"/>
  <c r="AA29" i="3" a="1"/>
  <c r="AA29" i="3" s="1"/>
  <c r="AB29" i="3" a="1"/>
  <c r="AB29" i="3" s="1"/>
  <c r="X29" i="3" a="1"/>
  <c r="X29" i="3" s="1"/>
  <c r="AC29" i="3" a="1"/>
  <c r="AC29" i="3" s="1"/>
  <c r="Y10" i="2"/>
  <c r="AA15" i="2" s="1" a="1"/>
  <c r="S82" i="2"/>
  <c r="AB28" i="2" a="1"/>
  <c r="AB28" i="2" s="1"/>
  <c r="S85" i="2"/>
  <c r="S81" i="2"/>
  <c r="S83" i="2"/>
  <c r="S86" i="2"/>
  <c r="S87" i="2"/>
  <c r="S84" i="2"/>
  <c r="S80" i="2"/>
  <c r="S89" i="2"/>
  <c r="S88" i="2"/>
  <c r="S76" i="2"/>
  <c r="AF28" i="2" a="1"/>
  <c r="AF28" i="2" s="1"/>
  <c r="T86" i="2"/>
  <c r="T83" i="2"/>
  <c r="T80" i="2"/>
  <c r="T89" i="2"/>
  <c r="T81" i="2"/>
  <c r="T87" i="2"/>
  <c r="T84" i="2"/>
  <c r="T76" i="2"/>
  <c r="T88" i="2"/>
  <c r="T85" i="2"/>
  <c r="T82" i="2"/>
  <c r="R85" i="2"/>
  <c r="R86" i="2"/>
  <c r="R84" i="2"/>
  <c r="R81" i="2"/>
  <c r="R80" i="2"/>
  <c r="R87" i="2"/>
  <c r="R89" i="2"/>
  <c r="R83" i="2"/>
  <c r="U83" i="2" s="1"/>
  <c r="R82" i="2"/>
  <c r="R88" i="2"/>
  <c r="R76" i="2"/>
  <c r="X28" i="2" a="1"/>
  <c r="X28" i="2" s="1"/>
  <c r="AF36" i="3" l="1"/>
  <c r="Y36" i="3"/>
  <c r="X36" i="3" a="1"/>
  <c r="X36" i="3" s="1"/>
  <c r="AR48" i="2"/>
  <c r="AT48" i="2" s="1"/>
  <c r="AQ48" i="2"/>
  <c r="AS48" i="2" s="1"/>
  <c r="AG36" i="3"/>
  <c r="U88" i="2"/>
  <c r="U82" i="2"/>
  <c r="U85" i="2"/>
  <c r="AA15" i="2"/>
  <c r="AC29" i="2" s="1" a="1"/>
  <c r="AC29" i="2" s="1"/>
  <c r="AB29" i="2" a="1"/>
  <c r="AB29" i="2" s="1"/>
  <c r="Y29" i="2" a="1"/>
  <c r="Y29" i="2" s="1"/>
  <c r="U81" i="2"/>
  <c r="U84" i="2"/>
  <c r="U87" i="2"/>
  <c r="U80" i="2"/>
  <c r="U86" i="2"/>
  <c r="U89" i="2"/>
  <c r="AI10" i="2" a="1"/>
  <c r="AI10" i="2" s="1"/>
  <c r="AF29" i="2" l="1" a="1"/>
  <c r="AF29" i="2" s="1"/>
  <c r="AG29" i="2" a="1"/>
  <c r="AG29" i="2" s="1"/>
  <c r="X29" i="2" a="1"/>
  <c r="X29" i="2" s="1"/>
  <c r="AC36" i="3"/>
  <c r="AB36" i="3"/>
  <c r="W29" i="2" a="1"/>
  <c r="W29" i="2" s="1"/>
  <c r="AE29" i="2" a="1"/>
  <c r="AE29" i="2" s="1"/>
  <c r="AA29" i="2" a="1"/>
  <c r="AA29" i="2" s="1"/>
  <c r="AC36" i="2" l="1"/>
  <c r="AB36" i="2"/>
  <c r="X36" i="2"/>
  <c r="Y36" i="2"/>
  <c r="AG36" i="2" l="1"/>
  <c r="AF3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<sst xmlns="http://schemas.openxmlformats.org/spreadsheetml/2006/main" count="419" uniqueCount="103">
  <si>
    <t>No</t>
  </si>
  <si>
    <t>var_1</t>
  </si>
  <si>
    <t>var_2</t>
  </si>
  <si>
    <t>var_3</t>
  </si>
  <si>
    <t>A</t>
  </si>
  <si>
    <t>B</t>
  </si>
  <si>
    <t>C</t>
  </si>
  <si>
    <t>D</t>
  </si>
  <si>
    <t>cluster</t>
  </si>
  <si>
    <t xml:space="preserve">   cluster   id  cluster_size  cluster_weight_sum</t>
  </si>
  <si>
    <t>Python Output</t>
  </si>
  <si>
    <t>Check</t>
  </si>
  <si>
    <t>1st iter</t>
  </si>
  <si>
    <t>Nearest</t>
  </si>
  <si>
    <t>iter</t>
  </si>
  <si>
    <t>Cluster assignments of data point</t>
  </si>
  <si>
    <t>Centroid Locations</t>
  </si>
  <si>
    <t>Point X</t>
  </si>
  <si>
    <t>Point Y</t>
  </si>
  <si>
    <t>norm.var1</t>
  </si>
  <si>
    <t>mean</t>
  </si>
  <si>
    <t>stdev</t>
  </si>
  <si>
    <t>X,Y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</si>
  <si>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</si>
  <si>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</si>
  <si>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</si>
  <si>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</si>
  <si>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</si>
  <si>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</si>
  <si>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</si>
  <si>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</si>
  <si>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</si>
  <si>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</si>
  <si>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X</t>
  </si>
  <si>
    <t>Y</t>
  </si>
  <si>
    <t>2nd iter</t>
  </si>
  <si>
    <t>3rd iter</t>
  </si>
  <si>
    <t>5th iter</t>
  </si>
  <si>
    <t>Points</t>
  </si>
  <si>
    <t>Cluster</t>
  </si>
  <si>
    <t>Cluster A</t>
  </si>
  <si>
    <t>Cluster B</t>
  </si>
  <si>
    <t>Cluster C</t>
  </si>
  <si>
    <t>6th iter</t>
  </si>
  <si>
    <t>centroid</t>
  </si>
  <si>
    <t>nearest</t>
  </si>
  <si>
    <t>x</t>
  </si>
  <si>
    <t>y</t>
  </si>
  <si>
    <t>start pts</t>
  </si>
  <si>
    <t>INITIALIZATION</t>
  </si>
  <si>
    <t>Number of clusters (k): 3</t>
  </si>
  <si>
    <t>Number of observations: 10</t>
  </si>
  <si>
    <t>Number of features: 2</t>
  </si>
  <si>
    <t>Feature names: ['var_1', 'var_3']</t>
  </si>
  <si>
    <t>Feature weights: {'var_1': 1, 'var_3': 1}</t>
  </si>
  <si>
    <t>Initialization method: indices</t>
  </si>
  <si>
    <t>Random seed: 42</t>
  </si>
  <si>
    <t>Initial centroid indices: [7 8 9]</t>
  </si>
  <si>
    <t>Initial centroid:</t>
  </si>
  <si>
    <t xml:space="preserve">  Cluster 0: [-0.41904997  1.35710229]</t>
  </si>
  <si>
    <t xml:space="preserve">  Cluster 1: [-0.19253647 -1.1874645 ]</t>
  </si>
  <si>
    <t xml:space="preserve">  Cluster 2: [-0.36242159 -1.61155897]</t>
  </si>
  <si>
    <t>Iteration 1:</t>
  </si>
  <si>
    <t xml:space="preserve">  Cluster sizes: [4 5 1]</t>
  </si>
  <si>
    <t>New centroid positions:</t>
  </si>
  <si>
    <t xml:space="preserve">  Cluster 0: [-0.68803474  0.93300782]</t>
  </si>
  <si>
    <t xml:space="preserve">  Cluster 1: [ 0.62291211 -0.42409446]</t>
  </si>
  <si>
    <t>Iteration 2:</t>
  </si>
  <si>
    <t xml:space="preserve">  Cluster sizes: [5 3 2]</t>
  </si>
  <si>
    <t xml:space="preserve">  Cluster 0: [-0.73616886  0.67855114]</t>
  </si>
  <si>
    <t xml:space="preserve">  Cluster 1: [ 1.41193412 -0.19791075]</t>
  </si>
  <si>
    <t xml:space="preserve">  Cluster 2: [-0.27747903 -1.39951173]</t>
  </si>
  <si>
    <t>Iteration 3:</t>
  </si>
  <si>
    <t>Converged after 3 iterations</t>
  </si>
  <si>
    <t>0        0  2.0             5                 5.0</t>
  </si>
  <si>
    <t>1        1  3.0             3                 3.0</t>
  </si>
  <si>
    <t>2        2  8.0             2                 2.0</t>
  </si>
  <si>
    <t>weight</t>
  </si>
  <si>
    <t>Python</t>
  </si>
  <si>
    <t>Excel</t>
  </si>
  <si>
    <t>==================================================</t>
  </si>
  <si>
    <t>Feature weights: {'var_1': 1, 'var_3': 3}</t>
  </si>
  <si>
    <t>Initial centroid indices: [1 5 9]</t>
  </si>
  <si>
    <t xml:space="preserve">  Cluster 0: [-0.92870533 -1.01782672]</t>
  </si>
  <si>
    <t xml:space="preserve">  Cluster 1: [1.78945661 0.25445668]</t>
  </si>
  <si>
    <t xml:space="preserve">  Cluster 2: [-0.36242159 -4.8346769 ]</t>
  </si>
  <si>
    <t xml:space="preserve">  Cluster sizes: [4 4 2]</t>
  </si>
  <si>
    <t xml:space="preserve">  Cluster 0: [-0.53230671 -0.38168502]</t>
  </si>
  <si>
    <t xml:space="preserve">  Cluster 1: [0.67104623 2.48095262]</t>
  </si>
  <si>
    <t xml:space="preserve">  Cluster 2: [-0.27747903 -4.1985352 ]</t>
  </si>
  <si>
    <t xml:space="preserve">  Cluster sizes: [4 3 3]</t>
  </si>
  <si>
    <t xml:space="preserve">  Cluster 0: [ 0.44453273 -0.06361417]</t>
  </si>
  <si>
    <t xml:space="preserve">  Cluster 1: [-0.62668734  3.6472124 ]</t>
  </si>
  <si>
    <t xml:space="preserve">  Cluster 2: [ 0.03397702 -3.5623935 ]</t>
  </si>
  <si>
    <t xml:space="preserve">  Cluster sizes: [5 2 3]</t>
  </si>
  <si>
    <t xml:space="preserve">  Cluster 0: [0.15855945 0.25445668]</t>
  </si>
  <si>
    <t xml:space="preserve">  Cluster 1: [-0.44736415  4.70744856]</t>
  </si>
  <si>
    <t>Iteration 4:</t>
  </si>
  <si>
    <t>Converged after 4 iterations</t>
  </si>
  <si>
    <t>0        0  0.0             5                 5.0</t>
  </si>
  <si>
    <t>1        1  6.0             2                 2.0</t>
  </si>
  <si>
    <t>2        2  8.0             3                 3.0</t>
  </si>
  <si>
    <t>norm.var3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</si>
</sst>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/>
    <xf numFmtId="164" fontId="2" fillId="0" borderId="0" xfId="0" applyNumberFormat="1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0" xfId="0" applyFill="1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43" fontId="0" fillId="4" borderId="0" xfId="1" applyFont="1" applyFill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 x14ac:dyDescent="0.25">
      <c r="A2">
        <v>0</v>
      </c>
      <c r="B2">
        <v>300</v>
      </c>
      <c r="C2">
        <v>30</v>
      </c>
      <c r="D2">
        <v>50000</v>
      </c>
      <c r="E2" t="s">
        <v>4</v>
      </c>
    </row>
    <row r="3" spans="1:5" x14ac:dyDescent="0.25">
      <c r="A3">
        <v>1</v>
      </c>
      <c r="B3">
        <v>200</v>
      </c>
      <c r="C3">
        <v>20</v>
      </c>
      <c r="D3">
        <v>40000</v>
      </c>
      <c r="E3" t="s">
        <v>4</v>
      </c>
    </row>
    <row r="4" spans="1:5" x14ac:dyDescent="0.25">
      <c r="A4">
        <v>2</v>
      </c>
      <c r="B4">
        <v>100</v>
      </c>
      <c r="C4">
        <v>10</v>
      </c>
      <c r="D4">
        <v>60000</v>
      </c>
      <c r="E4" t="s">
        <v>4</v>
      </c>
    </row>
    <row r="5" spans="1:5" x14ac:dyDescent="0.25">
      <c r="A5">
        <v>3</v>
      </c>
      <c r="B5">
        <v>5000</v>
      </c>
      <c r="C5">
        <v>20</v>
      </c>
      <c r="D5">
        <v>50000</v>
      </c>
      <c r="E5" t="s">
        <v>5</v>
      </c>
    </row>
    <row r="6" spans="1:5" x14ac:dyDescent="0.25">
      <c r="A6">
        <v>4</v>
      </c>
      <c r="B6">
        <v>3000</v>
      </c>
      <c r="C6">
        <v>10</v>
      </c>
      <c r="D6">
        <v>30000</v>
      </c>
      <c r="E6" t="s">
        <v>5</v>
      </c>
    </row>
    <row r="7" spans="1:5" x14ac:dyDescent="0.25">
      <c r="A7">
        <v>5</v>
      </c>
      <c r="B7">
        <v>5000</v>
      </c>
      <c r="C7">
        <v>30</v>
      </c>
      <c r="D7">
        <v>50000</v>
      </c>
      <c r="E7" t="s">
        <v>5</v>
      </c>
    </row>
    <row r="8" spans="1:5" x14ac:dyDescent="0.25">
      <c r="A8">
        <v>6</v>
      </c>
      <c r="B8">
        <v>1000</v>
      </c>
      <c r="C8">
        <v>20</v>
      </c>
      <c r="D8">
        <v>90000</v>
      </c>
      <c r="E8" t="s">
        <v>6</v>
      </c>
    </row>
    <row r="9" spans="1:5" x14ac:dyDescent="0.25">
      <c r="A9">
        <v>7</v>
      </c>
      <c r="B9">
        <v>1100</v>
      </c>
      <c r="C9">
        <v>10</v>
      </c>
      <c r="D9">
        <v>80000</v>
      </c>
      <c r="E9" t="s">
        <v>6</v>
      </c>
    </row>
    <row r="10" spans="1:5" x14ac:dyDescent="0.25">
      <c r="A10">
        <v>8</v>
      </c>
      <c r="B10">
        <v>1500</v>
      </c>
      <c r="C10">
        <v>30</v>
      </c>
      <c r="D10">
        <v>20000</v>
      </c>
      <c r="E10" t="s">
        <v>7</v>
      </c>
    </row>
    <row r="11" spans="1:5" x14ac:dyDescent="0.25">
      <c r="A11">
        <v>9</v>
      </c>
      <c r="B11">
        <v>1200</v>
      </c>
      <c r="C11">
        <v>20</v>
      </c>
      <c r="D11">
        <v>10000</v>
      </c>
      <c r="E1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466C-FBB3-4446-9411-E471F85510A0}">
  <dimension ref="A1:AT89"/>
  <sheetViews>
    <sheetView topLeftCell="V22" workbookViewId="0">
      <selection activeCell="AF35" sqref="AF35"/>
    </sheetView>
  </sheetViews>
  <sheetFormatPr defaultRowHeight="15" x14ac:dyDescent="0.25"/>
  <cols>
    <col min="5" max="6" width="10" bestFit="1" customWidth="1"/>
    <col min="13" max="13" width="11.140625" bestFit="1" customWidth="1"/>
    <col min="35" max="35" width="12.85546875" bestFit="1" customWidth="1"/>
    <col min="36" max="36" width="13.7109375" bestFit="1" customWidth="1"/>
    <col min="37" max="37" width="12.85546875" bestFit="1" customWidth="1"/>
    <col min="38" max="38" width="13.7109375" bestFit="1" customWidth="1"/>
  </cols>
  <sheetData>
    <row r="1" spans="1:37" x14ac:dyDescent="0.25">
      <c r="A1" s="1" t="s">
        <v>0</v>
      </c>
      <c r="B1" s="1" t="s">
        <v>1</v>
      </c>
      <c r="C1" s="1" t="s">
        <v>3</v>
      </c>
      <c r="D1" s="1" t="s">
        <v>8</v>
      </c>
      <c r="E1" s="1" t="s">
        <v>19</v>
      </c>
      <c r="F1" s="1" t="s">
        <v>102</v>
      </c>
      <c r="P1" s="1"/>
    </row>
    <row r="2" spans="1:37" x14ac:dyDescent="0.25">
      <c r="A2">
        <v>0</v>
      </c>
      <c r="B2">
        <v>300</v>
      </c>
      <c r="C2">
        <v>50000</v>
      </c>
      <c r="D2" t="s">
        <v>4</v>
      </c>
      <c r="E2" s="10">
        <f>STANDARDIZE(B2,B$13,B$14)*$P$5</f>
        <v>-0.87207695444207123</v>
      </c>
      <c r="F2" s="10">
        <f>STANDARDIZE(C2,C$13,C$14)*$P$6</f>
        <v>8.4818892967997092E-2</v>
      </c>
      <c r="P2" s="1" t="s">
        <v>48</v>
      </c>
      <c r="Q2" s="17">
        <v>7</v>
      </c>
      <c r="R2" s="17">
        <v>8</v>
      </c>
      <c r="S2" s="17">
        <v>9</v>
      </c>
    </row>
    <row r="3" spans="1:37" x14ac:dyDescent="0.25">
      <c r="A3">
        <v>1</v>
      </c>
      <c r="B3">
        <v>200</v>
      </c>
      <c r="C3">
        <v>40000</v>
      </c>
      <c r="D3" t="s">
        <v>4</v>
      </c>
      <c r="E3" s="10">
        <f t="shared" ref="E3:E11" si="0">STANDARDIZE(B3,B$13,B$14)*$P$5</f>
        <v>-0.92870532810714079</v>
      </c>
      <c r="F3" s="10">
        <f t="shared" ref="F3:F11" si="1">STANDARDIZE(C3,C$13,C$14)*$P$6</f>
        <v>-0.33927557187198837</v>
      </c>
      <c r="L3" s="1"/>
      <c r="M3" s="1"/>
      <c r="P3" s="1"/>
    </row>
    <row r="4" spans="1:37" x14ac:dyDescent="0.25">
      <c r="A4">
        <v>2</v>
      </c>
      <c r="B4">
        <v>100</v>
      </c>
      <c r="C4">
        <v>60000</v>
      </c>
      <c r="D4" t="s">
        <v>4</v>
      </c>
      <c r="E4" s="10">
        <f t="shared" si="0"/>
        <v>-0.98533370177221036</v>
      </c>
      <c r="F4" s="10">
        <f t="shared" si="1"/>
        <v>0.50891335780798252</v>
      </c>
      <c r="P4" s="15" t="s">
        <v>77</v>
      </c>
      <c r="Q4" s="15" t="s">
        <v>22</v>
      </c>
      <c r="R4" s="15" t="str">
        <f>"("&amp;TEXT(R5,"0.000")&amp;","&amp;TEXT(R6,"0.000")&amp;")"</f>
        <v>(-0.419,1.357)</v>
      </c>
      <c r="S4" s="15" t="str">
        <f t="shared" ref="S4:T4" si="2">"("&amp;TEXT(S5,"0.000")&amp;","&amp;TEXT(S6,"0.000")&amp;")"</f>
        <v>(-0.193,-1.187)</v>
      </c>
      <c r="T4" s="15" t="str">
        <f t="shared" si="2"/>
        <v>(-0.362,-1.612)</v>
      </c>
      <c r="X4" s="24" t="s">
        <v>14</v>
      </c>
      <c r="Y4" s="26" t="s">
        <v>15</v>
      </c>
      <c r="Z4" s="26"/>
      <c r="AA4" s="26"/>
      <c r="AB4" s="26"/>
      <c r="AC4" s="26"/>
      <c r="AD4" s="26"/>
      <c r="AE4" s="26"/>
      <c r="AF4" s="14"/>
      <c r="AG4" s="14"/>
      <c r="AH4" s="14"/>
      <c r="AI4" s="26" t="s">
        <v>16</v>
      </c>
      <c r="AJ4" s="26"/>
      <c r="AK4" s="26"/>
    </row>
    <row r="5" spans="1:37" x14ac:dyDescent="0.25">
      <c r="A5">
        <v>3</v>
      </c>
      <c r="B5">
        <v>5000</v>
      </c>
      <c r="C5">
        <v>50000</v>
      </c>
      <c r="D5" t="s">
        <v>5</v>
      </c>
      <c r="E5" s="10">
        <f t="shared" si="0"/>
        <v>1.7894566078161982</v>
      </c>
      <c r="F5" s="10">
        <f t="shared" si="1"/>
        <v>8.4818892967997092E-2</v>
      </c>
      <c r="O5" s="2" t="s">
        <v>11</v>
      </c>
      <c r="P5" s="18">
        <v>1</v>
      </c>
      <c r="Q5" s="15" t="s">
        <v>33</v>
      </c>
      <c r="R5" s="6">
        <f>INDEX($E$2:$E$11,MATCH(Q2,$A$2:$A$11,0))</f>
        <v>-0.41904996512151477</v>
      </c>
      <c r="S5" s="6">
        <f>INDEX($E$2:$E$11,MATCH(R2,$A$2:$A$11,0))</f>
        <v>-0.19253647046123651</v>
      </c>
      <c r="T5" s="6">
        <f>INDEX($E$2:$E$11,MATCH(S2,$A$2:$A$11,0))</f>
        <v>-0.3624215914564452</v>
      </c>
      <c r="V5" s="12"/>
      <c r="X5" s="25"/>
      <c r="Y5" s="8" t="str" cm="1">
        <f t="array" ref="Y5:AH5">TRANSPOSE(O8:O17)</f>
        <v>P0</v>
      </c>
      <c r="Z5" s="8" t="str">
        <v>P1</v>
      </c>
      <c r="AA5" s="8" t="str">
        <v>P2</v>
      </c>
      <c r="AB5" s="8" t="str">
        <v>P3</v>
      </c>
      <c r="AC5" s="8" t="str">
        <v>P4</v>
      </c>
      <c r="AD5" s="8" t="str">
        <v>P5</v>
      </c>
      <c r="AE5" s="8" t="str">
        <v>P6</v>
      </c>
      <c r="AF5" s="8" t="str">
        <v>P7</v>
      </c>
      <c r="AG5" s="8" t="str">
        <v>P8</v>
      </c>
      <c r="AH5" s="8" t="str">
        <v>P9</v>
      </c>
      <c r="AI5" s="4" t="s">
        <v>4</v>
      </c>
      <c r="AJ5" s="4" t="s">
        <v>5</v>
      </c>
      <c r="AK5" s="4" t="s">
        <v>6</v>
      </c>
    </row>
    <row r="6" spans="1:37" x14ac:dyDescent="0.25">
      <c r="A6">
        <v>4</v>
      </c>
      <c r="B6">
        <v>3000</v>
      </c>
      <c r="C6">
        <v>30000</v>
      </c>
      <c r="D6" t="s">
        <v>5</v>
      </c>
      <c r="E6" s="10">
        <f t="shared" si="0"/>
        <v>0.6568891345148069</v>
      </c>
      <c r="F6" s="10">
        <f t="shared" si="1"/>
        <v>-0.76337003671197379</v>
      </c>
      <c r="P6" s="18">
        <v>1</v>
      </c>
      <c r="Q6" s="15" t="s">
        <v>34</v>
      </c>
      <c r="R6" s="6">
        <f>INDEX($F$2:$F$11,MATCH(Q2,$A$2:$A$11,0))</f>
        <v>1.3571022874879535</v>
      </c>
      <c r="S6" s="6">
        <f>INDEX($F$2:$F$11,MATCH(R2,$A$2:$A$11,0))</f>
        <v>-1.1874645015519594</v>
      </c>
      <c r="T6" s="6">
        <f>INDEX($F$2:$F$11,MATCH(S2,$A$2:$A$11,0))</f>
        <v>-1.6115589663919447</v>
      </c>
      <c r="U6" s="12"/>
      <c r="V6" s="11"/>
      <c r="X6" s="5">
        <v>0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3" t="str" cm="1">
        <f t="array" ref="AI6:AK6">R4:T4</f>
        <v>(-0.419,1.357)</v>
      </c>
      <c r="AJ6" s="3" t="str">
        <v>(-0.193,-1.187)</v>
      </c>
      <c r="AK6" s="3" t="str">
        <v>(-0.362,-1.612)</v>
      </c>
    </row>
    <row r="7" spans="1:37" x14ac:dyDescent="0.25">
      <c r="A7">
        <v>5</v>
      </c>
      <c r="B7">
        <v>5000</v>
      </c>
      <c r="C7">
        <v>50000</v>
      </c>
      <c r="D7" t="s">
        <v>5</v>
      </c>
      <c r="E7" s="10">
        <f t="shared" si="0"/>
        <v>1.7894566078161982</v>
      </c>
      <c r="F7" s="10">
        <f t="shared" si="1"/>
        <v>8.4818892967997092E-2</v>
      </c>
      <c r="O7" s="4" t="s">
        <v>12</v>
      </c>
      <c r="P7" s="4" t="s">
        <v>17</v>
      </c>
      <c r="Q7" s="4" t="s">
        <v>18</v>
      </c>
      <c r="R7" s="4" t="s">
        <v>4</v>
      </c>
      <c r="S7" s="4" t="s">
        <v>5</v>
      </c>
      <c r="T7" s="4" t="s">
        <v>6</v>
      </c>
      <c r="U7" s="4" t="s">
        <v>13</v>
      </c>
      <c r="V7" s="11"/>
      <c r="X7" s="5">
        <v>1</v>
      </c>
      <c r="Y7" s="5" t="str" cm="1">
        <f t="array" ref="Y7:AH7">TRANSPOSE(U8:U17)</f>
        <v>A</v>
      </c>
      <c r="Z7" s="5" t="str">
        <v>B</v>
      </c>
      <c r="AA7" s="5" t="str">
        <v>A</v>
      </c>
      <c r="AB7" s="5" t="str">
        <v>B</v>
      </c>
      <c r="AC7" s="5" t="str">
        <v>B</v>
      </c>
      <c r="AD7" s="5" t="str">
        <v>B</v>
      </c>
      <c r="AE7" s="5" t="str">
        <v>A</v>
      </c>
      <c r="AF7" s="5" t="str">
        <v>A</v>
      </c>
      <c r="AG7" s="5" t="str">
        <v>B</v>
      </c>
      <c r="AH7" s="5" t="str">
        <v>C</v>
      </c>
      <c r="AI7" s="3" t="str" cm="1">
        <f t="array" ref="AI7:AK7">R22:T22</f>
        <v>(-0.688,0.933)</v>
      </c>
      <c r="AJ7" s="3" t="str">
        <v>(0.623,-0.424)</v>
      </c>
      <c r="AK7" s="3" t="str">
        <v>(-0.362,-1.612)</v>
      </c>
    </row>
    <row r="8" spans="1:37" x14ac:dyDescent="0.25">
      <c r="A8">
        <v>6</v>
      </c>
      <c r="B8">
        <v>1000</v>
      </c>
      <c r="C8">
        <v>90000</v>
      </c>
      <c r="D8" t="s">
        <v>6</v>
      </c>
      <c r="E8" s="10">
        <f t="shared" si="0"/>
        <v>-0.47567833878658433</v>
      </c>
      <c r="F8" s="10">
        <f t="shared" si="1"/>
        <v>1.7811967523279388</v>
      </c>
      <c r="O8" s="5" t="s">
        <v>23</v>
      </c>
      <c r="P8" s="6" cm="1">
        <f t="array" ref="P8:P17">E2:E11</f>
        <v>-0.87207695444207123</v>
      </c>
      <c r="Q8" s="6" cm="1">
        <f t="array" ref="Q8:Q17">F2:F11</f>
        <v>8.4818892967997092E-2</v>
      </c>
      <c r="R8" s="3">
        <f>SQRT(($P8-R$5)^2+($Q8-R$6)^2)</f>
        <v>1.3505326686252614</v>
      </c>
      <c r="S8" s="3">
        <f>SQRT(($P8-S$5)^2+($Q8-S$6)^2)</f>
        <v>1.4423870164904184</v>
      </c>
      <c r="T8" s="3">
        <f>SQRT(($P8-T$5)^2+($Q8-T$6)^2)</f>
        <v>1.7712838368670982</v>
      </c>
      <c r="U8" s="13" t="str">
        <f>INDEX($R$7:$T$7,MATCH(MIN(R8:T8),R8:T8,0))</f>
        <v>A</v>
      </c>
      <c r="V8" s="11"/>
      <c r="X8" s="5">
        <v>2</v>
      </c>
      <c r="Y8" s="5" t="str" cm="1">
        <f t="array" ref="Y8:AH8">TRANSPOSE(U26:U35)</f>
        <v>A</v>
      </c>
      <c r="Z8" s="5" t="str">
        <v>A</v>
      </c>
      <c r="AA8" s="5" t="str">
        <v>A</v>
      </c>
      <c r="AB8" s="5" t="str">
        <v>B</v>
      </c>
      <c r="AC8" s="5" t="str">
        <v>B</v>
      </c>
      <c r="AD8" s="5" t="str">
        <v>B</v>
      </c>
      <c r="AE8" s="5" t="str">
        <v>A</v>
      </c>
      <c r="AF8" s="5" t="str">
        <v>A</v>
      </c>
      <c r="AG8" s="5" t="str">
        <v>C</v>
      </c>
      <c r="AH8" s="5" t="str">
        <v>C</v>
      </c>
      <c r="AI8" s="3" t="str" cm="1">
        <f t="array" ref="AI8:AK8">R40:T40</f>
        <v>(-0.736,0.679)</v>
      </c>
      <c r="AJ8" s="3" t="str">
        <v>(1.412,-0.198)</v>
      </c>
      <c r="AK8" s="3" t="str">
        <v>(-0.277,-1.400)</v>
      </c>
    </row>
    <row r="9" spans="1:37" x14ac:dyDescent="0.25">
      <c r="A9">
        <v>7</v>
      </c>
      <c r="B9">
        <v>1100</v>
      </c>
      <c r="C9">
        <v>80000</v>
      </c>
      <c r="D9" t="s">
        <v>6</v>
      </c>
      <c r="E9" s="10">
        <f t="shared" si="0"/>
        <v>-0.41904996512151477</v>
      </c>
      <c r="F9" s="10">
        <f t="shared" si="1"/>
        <v>1.3571022874879535</v>
      </c>
      <c r="O9" s="5" t="s">
        <v>24</v>
      </c>
      <c r="P9" s="6">
        <v>-0.92870532810714079</v>
      </c>
      <c r="Q9" s="6">
        <v>-0.33927557187198837</v>
      </c>
      <c r="R9" s="3">
        <f t="shared" ref="R9:R17" si="3">SQRT(($P9-R$5)^2+($Q9-R$6)^2)</f>
        <v>1.7712838368670982</v>
      </c>
      <c r="S9" s="3">
        <f t="shared" ref="S9:T17" si="4">SQRT(($P9-S$5)^2+($Q9-S$6)^2)</f>
        <v>1.1231068726525231</v>
      </c>
      <c r="T9" s="3">
        <f t="shared" si="4"/>
        <v>1.3926170709733157</v>
      </c>
      <c r="U9" s="13" t="str">
        <f t="shared" ref="U9:U17" si="5">INDEX($R$7:$T$7,MATCH(MIN(R9:T9),R9:T9,0))</f>
        <v>B</v>
      </c>
      <c r="V9" s="11"/>
      <c r="X9" s="5">
        <v>3</v>
      </c>
      <c r="Y9" s="5" t="str" cm="1">
        <f t="array" ref="Y9:AH9">TRANSPOSE(U44:U53)</f>
        <v>A</v>
      </c>
      <c r="Z9" s="5" t="str">
        <v>A</v>
      </c>
      <c r="AA9" s="5" t="str">
        <v>A</v>
      </c>
      <c r="AB9" s="5" t="str">
        <v>B</v>
      </c>
      <c r="AC9" s="5" t="str">
        <v>B</v>
      </c>
      <c r="AD9" s="5" t="str">
        <v>B</v>
      </c>
      <c r="AE9" s="5" t="str">
        <v>A</v>
      </c>
      <c r="AF9" s="5" t="str">
        <v>A</v>
      </c>
      <c r="AG9" s="5" t="str">
        <v>C</v>
      </c>
      <c r="AH9" s="5" t="str">
        <v>C</v>
      </c>
      <c r="AI9" s="3" t="str" cm="1">
        <f t="array" ref="AI9:AK9">R58:T58</f>
        <v>(-0.736,0.679)</v>
      </c>
      <c r="AJ9" s="3" t="str">
        <v>(1.412,-0.198)</v>
      </c>
      <c r="AK9" s="3" t="str">
        <v>(-0.277,-1.400)</v>
      </c>
    </row>
    <row r="10" spans="1:37" x14ac:dyDescent="0.25">
      <c r="A10">
        <v>8</v>
      </c>
      <c r="B10">
        <v>1500</v>
      </c>
      <c r="C10">
        <v>20000</v>
      </c>
      <c r="D10" t="s">
        <v>7</v>
      </c>
      <c r="E10" s="10">
        <f t="shared" si="0"/>
        <v>-0.19253647046123651</v>
      </c>
      <c r="F10" s="10">
        <f t="shared" si="1"/>
        <v>-1.1874645015519594</v>
      </c>
      <c r="O10" s="5" t="s">
        <v>25</v>
      </c>
      <c r="P10" s="6">
        <v>-0.98533370177221036</v>
      </c>
      <c r="Q10" s="6">
        <v>0.50891335780798252</v>
      </c>
      <c r="R10" s="3">
        <f t="shared" si="3"/>
        <v>1.0198537791402889</v>
      </c>
      <c r="S10" s="3">
        <f t="shared" si="4"/>
        <v>1.8724917334132518</v>
      </c>
      <c r="T10" s="3">
        <f t="shared" si="4"/>
        <v>2.2100729342887941</v>
      </c>
      <c r="U10" s="13" t="str">
        <f t="shared" si="5"/>
        <v>A</v>
      </c>
      <c r="V10" s="11"/>
      <c r="X10" s="5">
        <v>4</v>
      </c>
      <c r="Y10" s="5" t="str" cm="1">
        <f t="array" ref="Y10:AH10">TRANSPOSE(U62:U71)</f>
        <v>A</v>
      </c>
      <c r="Z10" s="5" t="str">
        <v>A</v>
      </c>
      <c r="AA10" s="5" t="str">
        <v>A</v>
      </c>
      <c r="AB10" s="5" t="str">
        <v>B</v>
      </c>
      <c r="AC10" s="5" t="str">
        <v>B</v>
      </c>
      <c r="AD10" s="5" t="str">
        <v>B</v>
      </c>
      <c r="AE10" s="5" t="str">
        <v>A</v>
      </c>
      <c r="AF10" s="5" t="str">
        <v>A</v>
      </c>
      <c r="AG10" s="5" t="str">
        <v>C</v>
      </c>
      <c r="AH10" s="5" t="str">
        <v>C</v>
      </c>
      <c r="AI10" s="3" t="str" cm="1">
        <f t="array" ref="AI10:AK10">R76:T76</f>
        <v>(-0.736,0.679)</v>
      </c>
      <c r="AJ10" s="3" t="str">
        <v>(1.412,-0.198)</v>
      </c>
      <c r="AK10" s="3" t="str">
        <v>(-0.277,-1.400)</v>
      </c>
    </row>
    <row r="11" spans="1:37" x14ac:dyDescent="0.25">
      <c r="A11">
        <v>9</v>
      </c>
      <c r="B11">
        <v>1200</v>
      </c>
      <c r="C11">
        <v>10000</v>
      </c>
      <c r="D11" t="s">
        <v>7</v>
      </c>
      <c r="E11" s="10">
        <f t="shared" si="0"/>
        <v>-0.3624215914564452</v>
      </c>
      <c r="F11" s="10">
        <f t="shared" si="1"/>
        <v>-1.6115589663919447</v>
      </c>
      <c r="O11" s="5" t="s">
        <v>26</v>
      </c>
      <c r="P11" s="6">
        <v>1.7894566078161982</v>
      </c>
      <c r="Q11" s="6">
        <v>8.4818892967997092E-2</v>
      </c>
      <c r="R11" s="3">
        <f t="shared" si="3"/>
        <v>2.5487656460883779</v>
      </c>
      <c r="S11" s="3">
        <f t="shared" si="4"/>
        <v>2.3552073365865018</v>
      </c>
      <c r="T11" s="3">
        <f t="shared" si="4"/>
        <v>2.7401236516317091</v>
      </c>
      <c r="U11" s="13" t="str">
        <f t="shared" si="5"/>
        <v>B</v>
      </c>
      <c r="V11" s="11"/>
    </row>
    <row r="12" spans="1:37" x14ac:dyDescent="0.25">
      <c r="O12" s="5" t="s">
        <v>27</v>
      </c>
      <c r="P12" s="6">
        <v>0.6568891345148069</v>
      </c>
      <c r="Q12" s="7">
        <v>-0.76337003671197379</v>
      </c>
      <c r="R12" s="3">
        <f t="shared" si="3"/>
        <v>2.3778241784926109</v>
      </c>
      <c r="S12" s="3">
        <f t="shared" si="4"/>
        <v>0.94941032936072012</v>
      </c>
      <c r="T12" s="3">
        <f t="shared" si="4"/>
        <v>1.3260538512864761</v>
      </c>
      <c r="U12" s="13" t="str">
        <f t="shared" si="5"/>
        <v>B</v>
      </c>
      <c r="V12" s="11"/>
    </row>
    <row r="13" spans="1:37" x14ac:dyDescent="0.25">
      <c r="A13" t="s">
        <v>20</v>
      </c>
      <c r="B13">
        <f>AVERAGE(B2:B11)</f>
        <v>1840</v>
      </c>
      <c r="C13">
        <f t="shared" ref="C13" si="6">AVERAGE(C2:C11)</f>
        <v>48000</v>
      </c>
      <c r="O13" s="5" t="s">
        <v>28</v>
      </c>
      <c r="P13" s="6">
        <v>1.7894566078161982</v>
      </c>
      <c r="Q13" s="7">
        <v>8.4818892967997092E-2</v>
      </c>
      <c r="R13" s="3">
        <f t="shared" si="3"/>
        <v>2.5487656460883779</v>
      </c>
      <c r="S13" s="3">
        <f t="shared" si="4"/>
        <v>2.3552073365865018</v>
      </c>
      <c r="T13" s="3">
        <f t="shared" si="4"/>
        <v>2.7401236516317091</v>
      </c>
      <c r="U13" s="13" t="str">
        <f t="shared" si="5"/>
        <v>B</v>
      </c>
      <c r="V13" s="11"/>
      <c r="AI13" s="1" t="s">
        <v>10</v>
      </c>
    </row>
    <row r="14" spans="1:37" x14ac:dyDescent="0.25">
      <c r="A14" t="s">
        <v>21</v>
      </c>
      <c r="B14">
        <f>_xlfn.STDEV.P(B2:B11)</f>
        <v>1765.8992043715293</v>
      </c>
      <c r="C14">
        <f t="shared" ref="C14" si="7">_xlfn.STDEV.P(C2:C11)</f>
        <v>23579.652245103192</v>
      </c>
      <c r="O14" s="5" t="s">
        <v>29</v>
      </c>
      <c r="P14" s="6">
        <v>-0.47567833878658433</v>
      </c>
      <c r="Q14" s="7">
        <v>1.7811967523279388</v>
      </c>
      <c r="R14" s="3">
        <f t="shared" si="3"/>
        <v>0.42785849040525575</v>
      </c>
      <c r="S14" s="3">
        <f t="shared" si="4"/>
        <v>2.982133289758615</v>
      </c>
      <c r="T14" s="3">
        <f t="shared" si="4"/>
        <v>3.3946455570091967</v>
      </c>
      <c r="U14" s="13" t="str">
        <f t="shared" si="5"/>
        <v>A</v>
      </c>
      <c r="V14" s="11"/>
      <c r="X14" s="4" t="s">
        <v>38</v>
      </c>
      <c r="Y14" s="4" t="s">
        <v>17</v>
      </c>
      <c r="Z14" s="4" t="s">
        <v>18</v>
      </c>
      <c r="AA14" s="4" t="s">
        <v>39</v>
      </c>
      <c r="AI14" t="s">
        <v>80</v>
      </c>
    </row>
    <row r="15" spans="1:37" x14ac:dyDescent="0.25">
      <c r="O15" s="5" t="s">
        <v>30</v>
      </c>
      <c r="P15" s="6">
        <v>-0.41904996512151477</v>
      </c>
      <c r="Q15" s="7">
        <v>1.3571022874879535</v>
      </c>
      <c r="R15" s="3">
        <f t="shared" si="3"/>
        <v>0</v>
      </c>
      <c r="S15" s="3">
        <f t="shared" si="4"/>
        <v>2.5546288394105523</v>
      </c>
      <c r="T15" s="3">
        <f t="shared" si="4"/>
        <v>2.9692013089367522</v>
      </c>
      <c r="U15" s="13" t="str">
        <f t="shared" si="5"/>
        <v>A</v>
      </c>
      <c r="V15" s="11"/>
      <c r="X15" s="5" t="s">
        <v>23</v>
      </c>
      <c r="Y15" s="6" cm="1">
        <f t="array" ref="Y15:Y24">_xlfn.ANCHORARRAY(P8)</f>
        <v>-0.87207695444207123</v>
      </c>
      <c r="Z15" s="6" cm="1">
        <f t="array" ref="Z15:Z24">_xlfn.ANCHORARRAY(Q8)</f>
        <v>8.4818892967997092E-2</v>
      </c>
      <c r="AA15" s="6" t="str" cm="1">
        <f t="array" ref="AA15:AA24">TRANSPOSE(_xlfn.ANCHORARRAY(Y10))</f>
        <v>A</v>
      </c>
      <c r="AI15" t="s">
        <v>49</v>
      </c>
    </row>
    <row r="16" spans="1:37" x14ac:dyDescent="0.25">
      <c r="O16" s="5" t="s">
        <v>31</v>
      </c>
      <c r="P16" s="6">
        <v>-0.19253647046123651</v>
      </c>
      <c r="Q16" s="7">
        <v>-1.1874645015519594</v>
      </c>
      <c r="R16" s="3">
        <f t="shared" si="3"/>
        <v>2.5546288394105523</v>
      </c>
      <c r="S16" s="3">
        <f t="shared" si="4"/>
        <v>0</v>
      </c>
      <c r="T16" s="3">
        <f t="shared" si="4"/>
        <v>0.45685563304338306</v>
      </c>
      <c r="U16" s="13" t="str">
        <f t="shared" si="5"/>
        <v>B</v>
      </c>
      <c r="X16" s="5" t="s">
        <v>24</v>
      </c>
      <c r="Y16" s="6">
        <v>-0.92870532810714079</v>
      </c>
      <c r="Z16" s="6">
        <v>-0.33927557187198837</v>
      </c>
      <c r="AA16" s="6" t="str">
        <v>A</v>
      </c>
      <c r="AI16" t="s">
        <v>80</v>
      </c>
    </row>
    <row r="17" spans="15:46" x14ac:dyDescent="0.25">
      <c r="O17" s="5" t="s">
        <v>32</v>
      </c>
      <c r="P17" s="6">
        <v>-0.3624215914564452</v>
      </c>
      <c r="Q17" s="7">
        <v>-1.6115589663919447</v>
      </c>
      <c r="R17" s="3">
        <f t="shared" si="3"/>
        <v>2.9692013089367522</v>
      </c>
      <c r="S17" s="3">
        <f t="shared" si="4"/>
        <v>0.45685563304338306</v>
      </c>
      <c r="T17" s="3">
        <f t="shared" si="4"/>
        <v>0</v>
      </c>
      <c r="U17" s="13" t="str">
        <f t="shared" si="5"/>
        <v>C</v>
      </c>
      <c r="X17" s="5" t="s">
        <v>25</v>
      </c>
      <c r="Y17" s="6">
        <v>-0.98533370177221036</v>
      </c>
      <c r="Z17" s="6">
        <v>0.50891335780798252</v>
      </c>
      <c r="AA17" s="6" t="str">
        <v>A</v>
      </c>
      <c r="AI17" t="s">
        <v>50</v>
      </c>
    </row>
    <row r="18" spans="15:46" x14ac:dyDescent="0.25">
      <c r="X18" s="5" t="s">
        <v>26</v>
      </c>
      <c r="Y18" s="6">
        <v>1.7894566078161982</v>
      </c>
      <c r="Z18" s="6">
        <v>8.4818892967997092E-2</v>
      </c>
      <c r="AA18" s="6" t="str">
        <v>B</v>
      </c>
      <c r="AI18" t="s">
        <v>51</v>
      </c>
    </row>
    <row r="19" spans="15:46" x14ac:dyDescent="0.25">
      <c r="X19" s="5" t="s">
        <v>27</v>
      </c>
      <c r="Y19" s="7">
        <v>0.6568891345148069</v>
      </c>
      <c r="Z19" s="7">
        <v>-0.76337003671197379</v>
      </c>
      <c r="AA19" s="7" t="str">
        <v>B</v>
      </c>
      <c r="AI19" t="s">
        <v>52</v>
      </c>
    </row>
    <row r="20" spans="15:46" x14ac:dyDescent="0.25">
      <c r="X20" s="5" t="s">
        <v>28</v>
      </c>
      <c r="Y20" s="7">
        <v>1.7894566078161982</v>
      </c>
      <c r="Z20" s="7">
        <v>8.4818892967997092E-2</v>
      </c>
      <c r="AA20" s="7" t="str">
        <v>B</v>
      </c>
      <c r="AI20" t="s">
        <v>53</v>
      </c>
    </row>
    <row r="21" spans="15:46" x14ac:dyDescent="0.25">
      <c r="X21" s="5" t="s">
        <v>29</v>
      </c>
      <c r="Y21" s="7">
        <v>-0.47567833878658433</v>
      </c>
      <c r="Z21" s="7">
        <v>1.7811967523279388</v>
      </c>
      <c r="AA21" s="7" t="str">
        <v>A</v>
      </c>
      <c r="AI21" t="s">
        <v>54</v>
      </c>
    </row>
    <row r="22" spans="15:46" x14ac:dyDescent="0.25">
      <c r="Q22" s="15" t="s">
        <v>22</v>
      </c>
      <c r="R22" s="15" t="str">
        <f>"("&amp;TEXT(R23,"0.000")&amp;","&amp;TEXT(R24,"0.000")&amp;")"</f>
        <v>(-0.688,0.933)</v>
      </c>
      <c r="S22" s="15" t="str">
        <f t="shared" ref="S22" si="8">"("&amp;TEXT(S23,"0.000")&amp;","&amp;TEXT(S24,"0.000")&amp;")"</f>
        <v>(0.623,-0.424)</v>
      </c>
      <c r="T22" s="15" t="str">
        <f t="shared" ref="T22" si="9">"("&amp;TEXT(T23,"0.000")&amp;","&amp;TEXT(T24,"0.000")&amp;")"</f>
        <v>(-0.362,-1.612)</v>
      </c>
      <c r="X22" s="5" t="s">
        <v>30</v>
      </c>
      <c r="Y22" s="7">
        <v>-0.41904996512151477</v>
      </c>
      <c r="Z22" s="7">
        <v>1.3571022874879535</v>
      </c>
      <c r="AA22" s="7" t="str">
        <v>A</v>
      </c>
      <c r="AI22" t="s">
        <v>55</v>
      </c>
    </row>
    <row r="23" spans="15:46" x14ac:dyDescent="0.25">
      <c r="Q23" s="15" t="s">
        <v>33</v>
      </c>
      <c r="R23" s="3">
        <f>AVERAGEIF($U8:$U17,R25,$P8:$P17)</f>
        <v>-0.68803474003059517</v>
      </c>
      <c r="S23" s="3">
        <f t="shared" ref="S23:T23" si="10">AVERAGEIF($U8:$U17,S25,$P8:$P17)</f>
        <v>0.6229121103157651</v>
      </c>
      <c r="T23" s="3">
        <f t="shared" si="10"/>
        <v>-0.3624215914564452</v>
      </c>
      <c r="X23" s="5" t="s">
        <v>31</v>
      </c>
      <c r="Y23" s="7">
        <v>-0.19253647046123651</v>
      </c>
      <c r="Z23" s="7">
        <v>-1.1874645015519594</v>
      </c>
      <c r="AA23" s="7" t="str">
        <v>C</v>
      </c>
      <c r="AI23" t="s">
        <v>56</v>
      </c>
    </row>
    <row r="24" spans="15:46" x14ac:dyDescent="0.25">
      <c r="Q24" s="15" t="s">
        <v>34</v>
      </c>
      <c r="R24" s="6">
        <f>AVERAGEIF($U8:$U17,R25,$Q8:$Q17)</f>
        <v>0.93300782264796789</v>
      </c>
      <c r="S24" s="6">
        <f t="shared" ref="S24:T24" si="11">AVERAGEIF($U8:$U17,S25,$Q8:$Q17)</f>
        <v>-0.42409446483998547</v>
      </c>
      <c r="T24" s="6">
        <f t="shared" si="11"/>
        <v>-1.6115589663919447</v>
      </c>
      <c r="X24" s="5" t="s">
        <v>32</v>
      </c>
      <c r="Y24" s="7">
        <v>-0.3624215914564452</v>
      </c>
      <c r="Z24" s="7">
        <v>-1.6115589663919447</v>
      </c>
      <c r="AA24" s="7" t="str">
        <v>C</v>
      </c>
      <c r="AI24" t="s">
        <v>57</v>
      </c>
    </row>
    <row r="25" spans="15:46" x14ac:dyDescent="0.25">
      <c r="O25" s="4" t="s">
        <v>35</v>
      </c>
      <c r="P25" s="4" t="s">
        <v>17</v>
      </c>
      <c r="Q25" s="4" t="s">
        <v>18</v>
      </c>
      <c r="R25" s="4" t="s">
        <v>4</v>
      </c>
      <c r="S25" s="4" t="s">
        <v>5</v>
      </c>
      <c r="T25" s="4" t="s">
        <v>6</v>
      </c>
      <c r="U25" s="4" t="s">
        <v>13</v>
      </c>
    </row>
    <row r="26" spans="15:46" x14ac:dyDescent="0.25">
      <c r="O26" s="5" t="s">
        <v>23</v>
      </c>
      <c r="P26" s="6">
        <f>P8</f>
        <v>-0.87207695444207123</v>
      </c>
      <c r="Q26" s="6">
        <f t="shared" ref="Q26:Q35" si="12">Q8</f>
        <v>8.4818892967997092E-2</v>
      </c>
      <c r="R26" s="3">
        <f>SQRT(($P26-R$23)^2+($Q26-R$24)^2)</f>
        <v>0.86792626248842952</v>
      </c>
      <c r="S26" s="3">
        <f t="shared" ref="S26:T35" si="13">SQRT(($P26-S$23)^2+($Q26-S$24)^2)</f>
        <v>1.5792356092429354</v>
      </c>
      <c r="T26" s="3">
        <f t="shared" si="13"/>
        <v>1.7712838368670982</v>
      </c>
      <c r="U26" s="13" t="str">
        <f t="shared" ref="U26:U35" si="14">INDEX($R$7:$T$7,MATCH(MIN(R26:T26),R26:T26,0))</f>
        <v>A</v>
      </c>
      <c r="AI26" t="s">
        <v>58</v>
      </c>
      <c r="AO26" s="2" t="s">
        <v>78</v>
      </c>
      <c r="AQ26" s="2" t="s">
        <v>79</v>
      </c>
      <c r="AS26" s="2" t="s">
        <v>11</v>
      </c>
    </row>
    <row r="27" spans="15:46" x14ac:dyDescent="0.25">
      <c r="O27" s="5" t="s">
        <v>24</v>
      </c>
      <c r="P27" s="6">
        <f t="shared" ref="P27" si="15">P9</f>
        <v>-0.92870532810714079</v>
      </c>
      <c r="Q27" s="6">
        <f t="shared" si="12"/>
        <v>-0.33927557187198837</v>
      </c>
      <c r="R27" s="3">
        <f t="shared" ref="R27:R35" si="16">SQRT(($P27-R$23)^2+($Q27-R$24)^2)</f>
        <v>1.2948464650051499</v>
      </c>
      <c r="S27" s="3">
        <f t="shared" si="13"/>
        <v>1.5539340139859146</v>
      </c>
      <c r="T27" s="3">
        <f t="shared" si="13"/>
        <v>1.3926170709733157</v>
      </c>
      <c r="U27" s="13" t="str">
        <f t="shared" si="14"/>
        <v>A</v>
      </c>
      <c r="W27" s="1" t="s">
        <v>40</v>
      </c>
      <c r="X27" s="12" t="s">
        <v>46</v>
      </c>
      <c r="Y27" s="12" t="s">
        <v>47</v>
      </c>
      <c r="AA27" s="1" t="s">
        <v>41</v>
      </c>
      <c r="AB27" s="12" t="s">
        <v>46</v>
      </c>
      <c r="AC27" s="12" t="s">
        <v>47</v>
      </c>
      <c r="AE27" s="1" t="s">
        <v>42</v>
      </c>
      <c r="AF27" s="12" t="s">
        <v>46</v>
      </c>
      <c r="AG27" s="12" t="s">
        <v>47</v>
      </c>
      <c r="AI27" t="s">
        <v>59</v>
      </c>
      <c r="AL27" s="19" t="str" cm="1">
        <f t="array" ref="AL27:AL29">TRANSPOSE(_xlfn.ANCHORARRAY(AI6))</f>
        <v>(-0.419,1.357)</v>
      </c>
      <c r="AO27" s="21" cm="1">
        <f t="array" ref="AO27">VALUE(INDEX(_xlfn.TEXTSPLIT(TRIM(SUBSTITUTE(SUBSTITUTE(_xlfn.TEXTAFTER(AI27, ":"), "[", ""), "]", "")), " "), 1))</f>
        <v>-0.41904996999999999</v>
      </c>
      <c r="AP27" s="21" cm="1">
        <f t="array" ref="AP27">VALUE(INDEX(_xlfn.TEXTSPLIT(TRIM(SUBSTITUTE(SUBSTITUTE(_xlfn.TEXTAFTER(AI27, ":"), "[", ""), "]", "")), " "), 2))</f>
        <v>1.35710229</v>
      </c>
      <c r="AQ27" s="20">
        <f>VALUE(_xlfn.TEXTAFTER(_xlfn.TEXTBEFORE(AL27, ","), "("))</f>
        <v>-0.41899999999999998</v>
      </c>
      <c r="AR27" s="20">
        <f>VALUE(_xlfn.TEXTBEFORE(_xlfn.TEXTAFTER(AL27, ","), ")"))</f>
        <v>1.357</v>
      </c>
      <c r="AS27" s="23">
        <f>IF(ABS(AO27-AQ27)&lt;0.001,0)</f>
        <v>0</v>
      </c>
      <c r="AT27" s="23">
        <f>IF(ABS(AP27-AR27)&lt;0.001,0)</f>
        <v>0</v>
      </c>
    </row>
    <row r="28" spans="15:46" x14ac:dyDescent="0.25">
      <c r="O28" s="5" t="s">
        <v>25</v>
      </c>
      <c r="P28" s="6">
        <f t="shared" ref="P28" si="17">P10</f>
        <v>-0.98533370177221036</v>
      </c>
      <c r="Q28" s="6">
        <f t="shared" si="12"/>
        <v>0.50891335780798252</v>
      </c>
      <c r="R28" s="3">
        <f t="shared" si="16"/>
        <v>0.51792160387509989</v>
      </c>
      <c r="S28" s="3">
        <f t="shared" si="13"/>
        <v>1.8592897001868252</v>
      </c>
      <c r="T28" s="3">
        <f t="shared" si="13"/>
        <v>2.2100729342887941</v>
      </c>
      <c r="U28" s="13" t="str">
        <f t="shared" si="14"/>
        <v>A</v>
      </c>
      <c r="W28" s="1" t="s">
        <v>44</v>
      </c>
      <c r="X28" s="16" cm="1">
        <f t="array" ref="X28:Y28">TRANSPOSE(R77:R78)</f>
        <v>-0.73616885764590434</v>
      </c>
      <c r="Y28" s="16">
        <v>0.67855114374397674</v>
      </c>
      <c r="AA28" s="1" t="s">
        <v>44</v>
      </c>
      <c r="AB28" s="16" cm="1">
        <f t="array" ref="AB28:AC28">TRANSPOSE(S77:S78)</f>
        <v>1.4119341167157344</v>
      </c>
      <c r="AC28" s="16">
        <v>-0.1979107502586599</v>
      </c>
      <c r="AD28" s="10"/>
      <c r="AE28" s="1" t="s">
        <v>44</v>
      </c>
      <c r="AF28" s="16" cm="1">
        <f t="array" ref="AF28:AG28">TRANSPOSE(T77:T78)</f>
        <v>-0.27747903095884086</v>
      </c>
      <c r="AG28" s="16">
        <v>-1.3995117339719521</v>
      </c>
      <c r="AI28" t="s">
        <v>60</v>
      </c>
      <c r="AL28" s="19" t="str">
        <v>(-0.193,-1.187)</v>
      </c>
      <c r="AO28" s="21" cm="1">
        <f t="array" ref="AO28">VALUE(INDEX(_xlfn.TEXTSPLIT(TRIM(SUBSTITUTE(SUBSTITUTE(_xlfn.TEXTAFTER(AI28, ":"), "[", ""), "]", "")), " "), 1))</f>
        <v>-0.19253646999999999</v>
      </c>
      <c r="AP28" s="21" cm="1">
        <f t="array" ref="AP28">VALUE(INDEX(_xlfn.TEXTSPLIT(TRIM(SUBSTITUTE(SUBSTITUTE(_xlfn.TEXTAFTER(AI28, ":"), "[", ""), "]", "")), " "), 2))</f>
        <v>-1.1874644999999999</v>
      </c>
      <c r="AQ28" s="20">
        <f t="shared" ref="AQ28:AQ29" si="18">VALUE(_xlfn.TEXTAFTER(_xlfn.TEXTBEFORE(AL28, ","), "("))</f>
        <v>-0.193</v>
      </c>
      <c r="AR28" s="20">
        <f t="shared" ref="AR28:AR29" si="19">VALUE(_xlfn.TEXTBEFORE(_xlfn.TEXTAFTER(AL28, ","), ")"))</f>
        <v>-1.1870000000000001</v>
      </c>
      <c r="AS28" s="23">
        <f t="shared" ref="AS28:AS29" si="20">IF(ABS(AO28-AQ28)&lt;0.001,0)</f>
        <v>0</v>
      </c>
      <c r="AT28" s="23">
        <f t="shared" ref="AT28:AT29" si="21">IF(ABS(AP28-AR28)&lt;0.001,0)</f>
        <v>0</v>
      </c>
    </row>
    <row r="29" spans="15:46" x14ac:dyDescent="0.25">
      <c r="O29" s="5" t="s">
        <v>26</v>
      </c>
      <c r="P29" s="6">
        <f t="shared" ref="P29" si="22">P11</f>
        <v>1.7894566078161982</v>
      </c>
      <c r="Q29" s="6">
        <f t="shared" si="12"/>
        <v>8.4818892967997092E-2</v>
      </c>
      <c r="R29" s="3">
        <f t="shared" si="16"/>
        <v>2.6186614594268147</v>
      </c>
      <c r="S29" s="3">
        <f t="shared" si="13"/>
        <v>1.2727210497213965</v>
      </c>
      <c r="T29" s="3">
        <f t="shared" si="13"/>
        <v>2.7401236516317091</v>
      </c>
      <c r="U29" s="13" t="str">
        <f t="shared" si="14"/>
        <v>B</v>
      </c>
      <c r="W29" t="str" cm="1">
        <f t="array" ref="W29:W33">_xlfn._xlws.FILTER(X15:X24,_xlfn.ANCHORARRAY( $AA15)="A")</f>
        <v>P0</v>
      </c>
      <c r="X29" s="11" cm="1">
        <f t="array" ref="X29:X33">_xlfn._xlws.FILTER(Y15:Y24,_xlfn.ANCHORARRAY( $AA15)="A")</f>
        <v>-0.87207695444207123</v>
      </c>
      <c r="Y29" s="11" cm="1">
        <f t="array" ref="Y29:Y33">_xlfn._xlws.FILTER(Z15:Z24,_xlfn.ANCHORARRAY( $AA15)="A")</f>
        <v>8.4818892967997092E-2</v>
      </c>
      <c r="Z29" s="10"/>
      <c r="AA29" t="str" cm="1">
        <f t="array" ref="AA29:AA31">_xlfn._xlws.FILTER(X15:X24,_xlfn.ANCHORARRAY( $AA15)="B")</f>
        <v>P3</v>
      </c>
      <c r="AB29" s="11" cm="1">
        <f t="array" ref="AB29:AB31">_xlfn._xlws.FILTER(Y15:Y24,_xlfn.ANCHORARRAY( $AA15)="B")</f>
        <v>1.7894566078161982</v>
      </c>
      <c r="AC29" s="11" cm="1">
        <f t="array" ref="AC29:AC31">_xlfn._xlws.FILTER(Z15:Z24,_xlfn.ANCHORARRAY( $AA15)="B")</f>
        <v>8.4818892967997092E-2</v>
      </c>
      <c r="AE29" t="str" cm="1">
        <f t="array" ref="AE29:AE30">_xlfn._xlws.FILTER(X15:X24,_xlfn.ANCHORARRAY( $AA15)="C")</f>
        <v>P8</v>
      </c>
      <c r="AF29" s="11" cm="1">
        <f t="array" ref="AF29:AF30">_xlfn._xlws.FILTER(Y15:Y24,_xlfn.ANCHORARRAY( $AA15)="C")</f>
        <v>-0.19253647046123651</v>
      </c>
      <c r="AG29" s="11" cm="1">
        <f t="array" ref="AG29:AG30">_xlfn._xlws.FILTER(Z15:Z24,_xlfn.ANCHORARRAY( $AA15)="C")</f>
        <v>-1.1874645015519594</v>
      </c>
      <c r="AI29" t="s">
        <v>61</v>
      </c>
      <c r="AL29" s="19" t="str">
        <v>(-0.362,-1.612)</v>
      </c>
      <c r="AO29" s="21" cm="1">
        <f t="array" ref="AO29">VALUE(INDEX(_xlfn.TEXTSPLIT(TRIM(SUBSTITUTE(SUBSTITUTE(_xlfn.TEXTAFTER(AI29, ":"), "[", ""), "]", "")), " "), 1))</f>
        <v>-0.36242159000000002</v>
      </c>
      <c r="AP29" s="21" cm="1">
        <f t="array" ref="AP29">VALUE(INDEX(_xlfn.TEXTSPLIT(TRIM(SUBSTITUTE(SUBSTITUTE(_xlfn.TEXTAFTER(AI29, ":"), "[", ""), "]", "")), " "), 2))</f>
        <v>-1.6115589699999999</v>
      </c>
      <c r="AQ29" s="20">
        <f t="shared" si="18"/>
        <v>-0.36199999999999999</v>
      </c>
      <c r="AR29" s="20">
        <f t="shared" si="19"/>
        <v>-1.6120000000000001</v>
      </c>
      <c r="AS29" s="23">
        <f t="shared" si="20"/>
        <v>0</v>
      </c>
      <c r="AT29" s="23">
        <f t="shared" si="21"/>
        <v>0</v>
      </c>
    </row>
    <row r="30" spans="15:46" x14ac:dyDescent="0.25">
      <c r="O30" s="5" t="s">
        <v>27</v>
      </c>
      <c r="P30" s="6">
        <f t="shared" ref="P30" si="23">P12</f>
        <v>0.6568891345148069</v>
      </c>
      <c r="Q30" s="6">
        <f t="shared" si="12"/>
        <v>-0.76337003671197379</v>
      </c>
      <c r="R30" s="3">
        <f t="shared" si="16"/>
        <v>2.1648367305755034</v>
      </c>
      <c r="S30" s="3">
        <f t="shared" si="13"/>
        <v>0.34097265556417716</v>
      </c>
      <c r="T30" s="3">
        <f t="shared" si="13"/>
        <v>1.3260538512864761</v>
      </c>
      <c r="U30" s="13" t="str">
        <f t="shared" si="14"/>
        <v>B</v>
      </c>
      <c r="W30" t="str">
        <v>P1</v>
      </c>
      <c r="X30" s="11">
        <v>-0.92870532810714079</v>
      </c>
      <c r="Y30" s="11">
        <v>-0.33927557187198837</v>
      </c>
      <c r="Z30" s="10"/>
      <c r="AA30" t="str">
        <v>P4</v>
      </c>
      <c r="AB30" s="11">
        <v>0.6568891345148069</v>
      </c>
      <c r="AC30" s="11">
        <v>-0.76337003671197379</v>
      </c>
      <c r="AE30" t="str">
        <v>P9</v>
      </c>
      <c r="AF30" s="11">
        <v>-0.3624215914564452</v>
      </c>
      <c r="AG30" s="11">
        <v>-1.6115589663919447</v>
      </c>
      <c r="AO30" s="21"/>
      <c r="AP30" s="21"/>
      <c r="AQ30" s="20"/>
      <c r="AR30" s="20"/>
      <c r="AS30" s="22"/>
      <c r="AT30" s="22"/>
    </row>
    <row r="31" spans="15:46" x14ac:dyDescent="0.25">
      <c r="O31" s="5" t="s">
        <v>28</v>
      </c>
      <c r="P31" s="6">
        <f t="shared" ref="P31" si="24">P13</f>
        <v>1.7894566078161982</v>
      </c>
      <c r="Q31" s="6">
        <f t="shared" si="12"/>
        <v>8.4818892967997092E-2</v>
      </c>
      <c r="R31" s="3">
        <f t="shared" si="16"/>
        <v>2.6186614594268147</v>
      </c>
      <c r="S31" s="3">
        <f t="shared" si="13"/>
        <v>1.2727210497213965</v>
      </c>
      <c r="T31" s="3">
        <f t="shared" si="13"/>
        <v>2.7401236516317091</v>
      </c>
      <c r="U31" s="13" t="str">
        <f t="shared" si="14"/>
        <v>B</v>
      </c>
      <c r="W31" t="str">
        <v>P2</v>
      </c>
      <c r="X31" s="11">
        <v>-0.98533370177221036</v>
      </c>
      <c r="Y31" s="11">
        <v>0.50891335780798252</v>
      </c>
      <c r="AA31" t="str">
        <v>P5</v>
      </c>
      <c r="AB31" s="11">
        <v>1.7894566078161982</v>
      </c>
      <c r="AC31" s="11">
        <v>8.4818892967997092E-2</v>
      </c>
      <c r="AF31" s="11"/>
      <c r="AG31" s="11"/>
      <c r="AI31" t="s">
        <v>62</v>
      </c>
      <c r="AO31" s="21"/>
      <c r="AP31" s="21"/>
      <c r="AQ31" s="20"/>
      <c r="AR31" s="20"/>
      <c r="AS31" s="22"/>
      <c r="AT31" s="22"/>
    </row>
    <row r="32" spans="15:46" x14ac:dyDescent="0.25">
      <c r="O32" s="5" t="s">
        <v>29</v>
      </c>
      <c r="P32" s="6">
        <f t="shared" ref="P32" si="25">P14</f>
        <v>-0.47567833878658433</v>
      </c>
      <c r="Q32" s="6">
        <f t="shared" si="12"/>
        <v>1.7811967523279388</v>
      </c>
      <c r="R32" s="3">
        <f t="shared" si="16"/>
        <v>0.87436817278590495</v>
      </c>
      <c r="S32" s="3">
        <f t="shared" si="13"/>
        <v>2.4637796832056407</v>
      </c>
      <c r="T32" s="3">
        <f t="shared" si="13"/>
        <v>3.3946455570091967</v>
      </c>
      <c r="U32" s="13" t="str">
        <f t="shared" si="14"/>
        <v>A</v>
      </c>
      <c r="W32" t="str">
        <v>P6</v>
      </c>
      <c r="X32" s="11">
        <v>-0.47567833878658433</v>
      </c>
      <c r="Y32" s="11">
        <v>1.7811967523279388</v>
      </c>
      <c r="AB32" s="11"/>
      <c r="AC32" s="11"/>
      <c r="AF32" s="11"/>
      <c r="AG32" s="11"/>
      <c r="AI32" t="s">
        <v>63</v>
      </c>
      <c r="AO32" s="21"/>
      <c r="AP32" s="21"/>
      <c r="AQ32" s="20"/>
      <c r="AR32" s="20"/>
      <c r="AS32" s="22"/>
      <c r="AT32" s="22"/>
    </row>
    <row r="33" spans="15:46" x14ac:dyDescent="0.25">
      <c r="O33" s="5" t="s">
        <v>30</v>
      </c>
      <c r="P33" s="6">
        <f t="shared" ref="P33" si="26">P15</f>
        <v>-0.41904996512151477</v>
      </c>
      <c r="Q33" s="6">
        <f t="shared" si="12"/>
        <v>1.3571022874879535</v>
      </c>
      <c r="R33" s="3">
        <f t="shared" si="16"/>
        <v>0.50220406633240477</v>
      </c>
      <c r="S33" s="3">
        <f t="shared" si="13"/>
        <v>2.063576225186063</v>
      </c>
      <c r="T33" s="3">
        <f t="shared" si="13"/>
        <v>2.9692013089367522</v>
      </c>
      <c r="U33" s="13" t="str">
        <f t="shared" si="14"/>
        <v>A</v>
      </c>
      <c r="W33" t="str">
        <v>P7</v>
      </c>
      <c r="X33" s="11">
        <v>-0.41904996512151477</v>
      </c>
      <c r="Y33" s="11">
        <v>1.3571022874879535</v>
      </c>
      <c r="AB33" s="11"/>
      <c r="AC33" s="11"/>
      <c r="AF33" s="11"/>
      <c r="AG33" s="11"/>
      <c r="AI33" t="s">
        <v>64</v>
      </c>
      <c r="AO33" s="21"/>
      <c r="AP33" s="21"/>
      <c r="AQ33" s="20"/>
      <c r="AR33" s="20"/>
      <c r="AS33" s="22"/>
      <c r="AT33" s="22"/>
    </row>
    <row r="34" spans="15:46" x14ac:dyDescent="0.25">
      <c r="O34" s="5" t="s">
        <v>31</v>
      </c>
      <c r="P34" s="6">
        <f t="shared" ref="P34" si="27">P16</f>
        <v>-0.19253647046123651</v>
      </c>
      <c r="Q34" s="6">
        <f t="shared" si="12"/>
        <v>-1.1874645015519594</v>
      </c>
      <c r="R34" s="3">
        <f t="shared" si="16"/>
        <v>2.1775953280727047</v>
      </c>
      <c r="S34" s="3">
        <f t="shared" si="13"/>
        <v>1.1170005375293544</v>
      </c>
      <c r="T34" s="3">
        <f t="shared" si="13"/>
        <v>0.45685563304338306</v>
      </c>
      <c r="U34" s="13" t="str">
        <f t="shared" si="14"/>
        <v>C</v>
      </c>
      <c r="AI34" t="s">
        <v>65</v>
      </c>
      <c r="AL34" s="19" t="str" cm="1">
        <f t="array" ref="AL34:AL36">TRANSPOSE(_xlfn.ANCHORARRAY(AI7))</f>
        <v>(-0.688,0.933)</v>
      </c>
      <c r="AO34" s="21" cm="1">
        <f t="array" ref="AO34">VALUE(INDEX(_xlfn.TEXTSPLIT(TRIM(SUBSTITUTE(SUBSTITUTE(_xlfn.TEXTAFTER(AI34, ":"), "[", ""), "]", "")), " "), 1))</f>
        <v>-0.68803473999999998</v>
      </c>
      <c r="AP34" s="21" cm="1">
        <f t="array" ref="AP34">VALUE(INDEX(_xlfn.TEXTSPLIT(TRIM(SUBSTITUTE(SUBSTITUTE(_xlfn.TEXTAFTER(AI34, ":"), "[", ""), "]", "")), " "), 2))</f>
        <v>0.93300782000000004</v>
      </c>
      <c r="AQ34" s="20">
        <f>VALUE(_xlfn.TEXTAFTER(_xlfn.TEXTBEFORE(AL34, ","), "("))</f>
        <v>-0.68799999999999994</v>
      </c>
      <c r="AR34" s="20">
        <f>VALUE(_xlfn.TEXTBEFORE(_xlfn.TEXTAFTER(AL34, ","), ")"))</f>
        <v>0.93300000000000005</v>
      </c>
      <c r="AS34" s="23">
        <f t="shared" ref="AS34:AS36" si="28">IF(ABS(AO34-AQ34)&lt;0.001,0)</f>
        <v>0</v>
      </c>
      <c r="AT34" s="23">
        <f t="shared" ref="AT34:AT36" si="29">IF(ABS(AP34-AR34)&lt;0.001,0)</f>
        <v>0</v>
      </c>
    </row>
    <row r="35" spans="15:46" x14ac:dyDescent="0.25">
      <c r="O35" s="5" t="s">
        <v>32</v>
      </c>
      <c r="P35" s="6">
        <f t="shared" ref="P35" si="30">P17</f>
        <v>-0.3624215914564452</v>
      </c>
      <c r="Q35" s="6">
        <f t="shared" si="12"/>
        <v>-1.6115589663919447</v>
      </c>
      <c r="R35" s="3">
        <f t="shared" si="16"/>
        <v>2.5653155880727936</v>
      </c>
      <c r="S35" s="3">
        <f t="shared" si="13"/>
        <v>1.5430341688680036</v>
      </c>
      <c r="T35" s="3">
        <f t="shared" si="13"/>
        <v>0</v>
      </c>
      <c r="U35" s="13" t="str">
        <f t="shared" si="14"/>
        <v>C</v>
      </c>
      <c r="W35" s="1" t="s">
        <v>45</v>
      </c>
      <c r="X35" s="12" t="str" cm="1">
        <f t="array" ref="X35">INDEX(_xlfn._xlws.FILTER($X$15:$X$24,_xlfn.ANCHORARRAY( $AA15)="A"), _xlfn.XMATCH(MIN(SQRT((_xlfn._xlws.FILTER($Y$15:$Y$24,_xlfn.ANCHORARRAY( $AA15)="A")-X28)^2+(_xlfn._xlws.FILTER($Z$15:$Z$24,_xlfn.ANCHORARRAY( $AA15)="A")-Y28)^2)), SQRT((_xlfn._xlws.FILTER($Y$15:$Y$24,_xlfn.ANCHORARRAY( $AA15)="A")-X28)^2+(_xlfn._xlws.FILTER($Z$15:$Z$24,_xlfn.ANCHORARRAY( $AA15)="A")-Y28)^2),0))</f>
        <v>P2</v>
      </c>
      <c r="AA35" s="1" t="s">
        <v>45</v>
      </c>
      <c r="AB35" s="12" t="str" cm="1">
        <f t="array" ref="AB35">INDEX(_xlfn._xlws.FILTER($X$15:$X$24,_xlfn.ANCHORARRAY( $AA15)="B"), _xlfn.XMATCH(MIN(SQRT((_xlfn._xlws.FILTER($Y$15:$Y$24,_xlfn.ANCHORARRAY( $AA15)="B")-AB28)^2+(_xlfn._xlws.FILTER($Z$15:$Z$24,_xlfn.ANCHORARRAY( $AA15)="B")-AC28)^2)), SQRT((_xlfn._xlws.FILTER($Y$15:$Y$24,_xlfn.ANCHORARRAY( $AA15)="B")-AB28)^2+(_xlfn._xlws.FILTER($Z$15:$Z$24,_xlfn.ANCHORARRAY( $AA15)="B")-AC28)^2),0))</f>
        <v>P3</v>
      </c>
      <c r="AE35" s="1" t="s">
        <v>45</v>
      </c>
      <c r="AF35" s="12" t="str" cm="1">
        <f t="array" ref="AF35">INDEX(_xlfn._xlws.FILTER($X$15:$X$24,_xlfn.ANCHORARRAY( $AA15)="C"), _xlfn.XMATCH(MIN(SQRT((_xlfn._xlws.FILTER($Y$15:$Y$24,_xlfn.ANCHORARRAY( $AA15)="C")-AF28)^2+(_xlfn._xlws.FILTER($Z$15:$Z$24,_xlfn.ANCHORARRAY( $AA15)="C")-AG28)^2)), SQRT((_xlfn._xlws.FILTER($Y$15:$Y$24,_xlfn.ANCHORARRAY( $AA15)="C")-AF28)^2+(_xlfn._xlws.FILTER($Z$15:$Z$24,_xlfn.ANCHORARRAY( $AA15)="C")-AG28)^2),0))</f>
        <v>P8</v>
      </c>
      <c r="AI35" t="s">
        <v>66</v>
      </c>
      <c r="AL35" s="19" t="str">
        <v>(0.623,-0.424)</v>
      </c>
      <c r="AO35" s="21" cm="1">
        <f t="array" ref="AO35">VALUE(INDEX(_xlfn.TEXTSPLIT(TRIM(SUBSTITUTE(SUBSTITUTE(_xlfn.TEXTAFTER(AI35, ":"), "[", ""), "]", "")), " "), 1))</f>
        <v>0.62291211000000002</v>
      </c>
      <c r="AP35" s="21" cm="1">
        <f t="array" ref="AP35">VALUE(INDEX(_xlfn.TEXTSPLIT(TRIM(SUBSTITUTE(SUBSTITUTE(_xlfn.TEXTAFTER(AI35, ":"), "[", ""), "]", "")), " "), 2))</f>
        <v>-0.42409446000000001</v>
      </c>
      <c r="AQ35" s="20">
        <f t="shared" ref="AQ35:AQ36" si="31">VALUE(_xlfn.TEXTAFTER(_xlfn.TEXTBEFORE(AL35, ","), "("))</f>
        <v>0.623</v>
      </c>
      <c r="AR35" s="20">
        <f t="shared" ref="AR35:AR36" si="32">VALUE(_xlfn.TEXTBEFORE(_xlfn.TEXTAFTER(AL35, ","), ")"))</f>
        <v>-0.42399999999999999</v>
      </c>
      <c r="AS35" s="23">
        <f t="shared" si="28"/>
        <v>0</v>
      </c>
      <c r="AT35" s="23">
        <f t="shared" si="29"/>
        <v>0</v>
      </c>
    </row>
    <row r="36" spans="15:46" x14ac:dyDescent="0.25">
      <c r="X36" s="11">
        <f>VLOOKUP(X35,$X$15:$Z$24,2,0)</f>
        <v>-0.98533370177221036</v>
      </c>
      <c r="Y36" s="11">
        <f>VLOOKUP(X35,$X$15:$Z$24,3,0)</f>
        <v>0.50891335780798252</v>
      </c>
      <c r="AB36" s="11">
        <f>VLOOKUP(AB35,$X$15:$Z$24,2,0)</f>
        <v>1.7894566078161982</v>
      </c>
      <c r="AC36" s="11">
        <f>VLOOKUP(AB35,$X$15:$Z$24,3,0)</f>
        <v>8.4818892967997092E-2</v>
      </c>
      <c r="AF36" s="11">
        <f>VLOOKUP(AF35,$X$15:$Z$24,2,0)</f>
        <v>-0.19253647046123651</v>
      </c>
      <c r="AG36" s="11">
        <f>VLOOKUP(AF35,$X$15:$Z$24,3,0)</f>
        <v>-1.1874645015519594</v>
      </c>
      <c r="AI36" t="s">
        <v>61</v>
      </c>
      <c r="AL36" s="19" t="str">
        <v>(-0.362,-1.612)</v>
      </c>
      <c r="AO36" s="21" cm="1">
        <f t="array" ref="AO36">VALUE(INDEX(_xlfn.TEXTSPLIT(TRIM(SUBSTITUTE(SUBSTITUTE(_xlfn.TEXTAFTER(AI36, ":"), "[", ""), "]", "")), " "), 1))</f>
        <v>-0.36242159000000002</v>
      </c>
      <c r="AP36" s="21" cm="1">
        <f t="array" ref="AP36">VALUE(INDEX(_xlfn.TEXTSPLIT(TRIM(SUBSTITUTE(SUBSTITUTE(_xlfn.TEXTAFTER(AI36, ":"), "[", ""), "]", "")), " "), 2))</f>
        <v>-1.6115589699999999</v>
      </c>
      <c r="AQ36" s="20">
        <f t="shared" si="31"/>
        <v>-0.36199999999999999</v>
      </c>
      <c r="AR36" s="20">
        <f t="shared" si="32"/>
        <v>-1.6120000000000001</v>
      </c>
      <c r="AS36" s="23">
        <f t="shared" si="28"/>
        <v>0</v>
      </c>
      <c r="AT36" s="23">
        <f t="shared" si="29"/>
        <v>0</v>
      </c>
    </row>
    <row r="37" spans="15:46" x14ac:dyDescent="0.25">
      <c r="AO37" s="21"/>
      <c r="AP37" s="21"/>
      <c r="AQ37" s="20"/>
      <c r="AR37" s="20"/>
      <c r="AS37" s="22"/>
      <c r="AT37" s="22"/>
    </row>
    <row r="38" spans="15:46" x14ac:dyDescent="0.25">
      <c r="AI38" t="s">
        <v>67</v>
      </c>
      <c r="AO38" s="21"/>
      <c r="AP38" s="21"/>
      <c r="AQ38" s="20"/>
      <c r="AR38" s="20"/>
      <c r="AS38" s="22"/>
      <c r="AT38" s="22"/>
    </row>
    <row r="39" spans="15:46" x14ac:dyDescent="0.25">
      <c r="W39" s="1"/>
      <c r="AI39" t="s">
        <v>68</v>
      </c>
      <c r="AO39" s="21"/>
      <c r="AP39" s="21"/>
      <c r="AQ39" s="20"/>
      <c r="AR39" s="20"/>
      <c r="AS39" s="22"/>
      <c r="AT39" s="22"/>
    </row>
    <row r="40" spans="15:46" x14ac:dyDescent="0.25">
      <c r="Q40" s="15" t="s">
        <v>22</v>
      </c>
      <c r="R40" s="15" t="str">
        <f>"("&amp;TEXT(R41,"0.000")&amp;","&amp;TEXT(R42,"0.000")&amp;")"</f>
        <v>(-0.736,0.679)</v>
      </c>
      <c r="S40" s="15" t="str">
        <f t="shared" ref="S40" si="33">"("&amp;TEXT(S41,"0.000")&amp;","&amp;TEXT(S42,"0.000")&amp;")"</f>
        <v>(1.412,-0.198)</v>
      </c>
      <c r="T40" s="15" t="str">
        <f t="shared" ref="T40" si="34">"("&amp;TEXT(T41,"0.000")&amp;","&amp;TEXT(T42,"0.000")&amp;")"</f>
        <v>(-0.277,-1.400)</v>
      </c>
      <c r="AI40" t="s">
        <v>64</v>
      </c>
      <c r="AO40" s="21"/>
      <c r="AP40" s="21"/>
      <c r="AQ40" s="20"/>
      <c r="AR40" s="20"/>
      <c r="AS40" s="22"/>
      <c r="AT40" s="22"/>
    </row>
    <row r="41" spans="15:46" x14ac:dyDescent="0.25">
      <c r="Q41" s="15" t="s">
        <v>33</v>
      </c>
      <c r="R41" s="3">
        <f>AVERAGEIF($U26:$U35,R43,$P26:$P35)</f>
        <v>-0.73616885764590434</v>
      </c>
      <c r="S41" s="3">
        <f t="shared" ref="S41:T41" si="35">AVERAGEIF($U26:$U35,S43,$P26:$P35)</f>
        <v>1.4119341167157344</v>
      </c>
      <c r="T41" s="3">
        <f t="shared" si="35"/>
        <v>-0.27747903095884086</v>
      </c>
      <c r="AI41" t="s">
        <v>69</v>
      </c>
      <c r="AL41" s="19" t="str" cm="1">
        <f t="array" ref="AL41:AL43">TRANSPOSE(_xlfn.ANCHORARRAY(AI8))</f>
        <v>(-0.736,0.679)</v>
      </c>
      <c r="AO41" s="21" cm="1">
        <f t="array" ref="AO41">VALUE(INDEX(_xlfn.TEXTSPLIT(TRIM(SUBSTITUTE(SUBSTITUTE(_xlfn.TEXTAFTER(AI41, ":"), "[", ""), "]", "")), " "), 1))</f>
        <v>-0.73616886000000004</v>
      </c>
      <c r="AP41" s="21" cm="1">
        <f t="array" ref="AP41">VALUE(INDEX(_xlfn.TEXTSPLIT(TRIM(SUBSTITUTE(SUBSTITUTE(_xlfn.TEXTAFTER(AI41, ":"), "[", ""), "]", "")), " "), 2))</f>
        <v>0.67855114000000005</v>
      </c>
      <c r="AQ41" s="20">
        <f>VALUE(_xlfn.TEXTAFTER(_xlfn.TEXTBEFORE(AL41, ","), "("))</f>
        <v>-0.73599999999999999</v>
      </c>
      <c r="AR41" s="20">
        <f>VALUE(_xlfn.TEXTBEFORE(_xlfn.TEXTAFTER(AL41, ","), ")"))</f>
        <v>0.67900000000000005</v>
      </c>
      <c r="AS41" s="23">
        <f t="shared" ref="AS41:AS43" si="36">IF(ABS(AO41-AQ41)&lt;0.001,0)</f>
        <v>0</v>
      </c>
      <c r="AT41" s="23">
        <f t="shared" ref="AT41:AT43" si="37">IF(ABS(AP41-AR41)&lt;0.001,0)</f>
        <v>0</v>
      </c>
    </row>
    <row r="42" spans="15:46" x14ac:dyDescent="0.25">
      <c r="Q42" s="15" t="s">
        <v>34</v>
      </c>
      <c r="R42" s="6">
        <f>AVERAGEIF($U26:$U35,R43,$Q26:$Q35)</f>
        <v>0.67855114374397674</v>
      </c>
      <c r="S42" s="6">
        <f t="shared" ref="S42" si="38">AVERAGEIF($U26:$U35,S43,$Q26:$Q35)</f>
        <v>-0.1979107502586599</v>
      </c>
      <c r="T42" s="6">
        <f t="shared" ref="T42" si="39">AVERAGEIF($U26:$U35,T43,$Q26:$Q35)</f>
        <v>-1.3995117339719521</v>
      </c>
      <c r="AI42" t="s">
        <v>70</v>
      </c>
      <c r="AL42" s="19" t="str">
        <v>(1.412,-0.198)</v>
      </c>
      <c r="AO42" s="21" cm="1">
        <f t="array" ref="AO42">VALUE(INDEX(_xlfn.TEXTSPLIT(TRIM(SUBSTITUTE(SUBSTITUTE(_xlfn.TEXTAFTER(AI42, ":"), "[", ""), "]", "")), " "), 1))</f>
        <v>1.41193412</v>
      </c>
      <c r="AP42" s="21" cm="1">
        <f t="array" ref="AP42">VALUE(INDEX(_xlfn.TEXTSPLIT(TRIM(SUBSTITUTE(SUBSTITUTE(_xlfn.TEXTAFTER(AI42, ":"), "[", ""), "]", "")), " "), 2))</f>
        <v>-0.19791075</v>
      </c>
      <c r="AQ42" s="20">
        <f t="shared" ref="AQ42:AQ43" si="40">VALUE(_xlfn.TEXTAFTER(_xlfn.TEXTBEFORE(AL42, ","), "("))</f>
        <v>1.4119999999999999</v>
      </c>
      <c r="AR42" s="20">
        <f t="shared" ref="AR42:AR43" si="41">VALUE(_xlfn.TEXTBEFORE(_xlfn.TEXTAFTER(AL42, ","), ")"))</f>
        <v>-0.19800000000000001</v>
      </c>
      <c r="AS42" s="23">
        <f t="shared" si="36"/>
        <v>0</v>
      </c>
      <c r="AT42" s="23">
        <f t="shared" si="37"/>
        <v>0</v>
      </c>
    </row>
    <row r="43" spans="15:46" x14ac:dyDescent="0.25">
      <c r="O43" s="4" t="s">
        <v>36</v>
      </c>
      <c r="P43" s="4" t="s">
        <v>17</v>
      </c>
      <c r="Q43" s="4" t="s">
        <v>18</v>
      </c>
      <c r="R43" s="4" t="s">
        <v>4</v>
      </c>
      <c r="S43" s="4" t="s">
        <v>5</v>
      </c>
      <c r="T43" s="4" t="s">
        <v>6</v>
      </c>
      <c r="U43" s="4" t="s">
        <v>13</v>
      </c>
      <c r="AI43" t="s">
        <v>71</v>
      </c>
      <c r="AL43" s="19" t="str">
        <v>(-0.277,-1.400)</v>
      </c>
      <c r="AO43" s="21" cm="1">
        <f t="array" ref="AO43">VALUE(INDEX(_xlfn.TEXTSPLIT(TRIM(SUBSTITUTE(SUBSTITUTE(_xlfn.TEXTAFTER(AI43, ":"), "[", ""), "]", "")), " "), 1))</f>
        <v>-0.27747903000000002</v>
      </c>
      <c r="AP43" s="21" cm="1">
        <f t="array" ref="AP43">VALUE(INDEX(_xlfn.TEXTSPLIT(TRIM(SUBSTITUTE(SUBSTITUTE(_xlfn.TEXTAFTER(AI43, ":"), "[", ""), "]", "")), " "), 2))</f>
        <v>-1.39951173</v>
      </c>
      <c r="AQ43" s="20">
        <f t="shared" si="40"/>
        <v>-0.27700000000000002</v>
      </c>
      <c r="AR43" s="20">
        <f t="shared" si="41"/>
        <v>-1.4</v>
      </c>
      <c r="AS43" s="23">
        <f t="shared" si="36"/>
        <v>0</v>
      </c>
      <c r="AT43" s="23">
        <f t="shared" si="37"/>
        <v>0</v>
      </c>
    </row>
    <row r="44" spans="15:46" x14ac:dyDescent="0.25">
      <c r="O44" s="5" t="s">
        <v>23</v>
      </c>
      <c r="P44" s="6">
        <f>P26</f>
        <v>-0.87207695444207123</v>
      </c>
      <c r="Q44" s="6">
        <f t="shared" ref="Q44:Q53" si="42">Q26</f>
        <v>8.4818892967997092E-2</v>
      </c>
      <c r="R44" s="3">
        <f>SQRT(($P44-R$41)^2+($Q44-R$42)^2)</f>
        <v>0.60908866053003075</v>
      </c>
      <c r="S44" s="3">
        <f t="shared" ref="S44:T53" si="43">SQRT(($P44-S$41)^2+($Q44-S$42)^2)</f>
        <v>2.3014435957308401</v>
      </c>
      <c r="T44" s="3">
        <f t="shared" si="43"/>
        <v>1.5989947156518411</v>
      </c>
      <c r="U44" s="13" t="str">
        <f t="shared" ref="U44:U53" si="44">INDEX($R$7:$T$7,MATCH(MIN(R44:T44),R44:T44,0))</f>
        <v>A</v>
      </c>
      <c r="AO44" s="21"/>
      <c r="AP44" s="21"/>
      <c r="AQ44" s="20"/>
      <c r="AR44" s="20"/>
      <c r="AS44" s="22"/>
      <c r="AT44" s="22"/>
    </row>
    <row r="45" spans="15:46" x14ac:dyDescent="0.25">
      <c r="O45" s="5" t="s">
        <v>24</v>
      </c>
      <c r="P45" s="6">
        <f t="shared" ref="P45" si="45">P27</f>
        <v>-0.92870532810714079</v>
      </c>
      <c r="Q45" s="6">
        <f t="shared" si="42"/>
        <v>-0.33927557187198837</v>
      </c>
      <c r="R45" s="3">
        <f t="shared" ref="R45:R53" si="46">SQRT(($P45-R$41)^2+($Q45-R$42)^2)</f>
        <v>1.03587717200412</v>
      </c>
      <c r="S45" s="3">
        <f t="shared" si="43"/>
        <v>2.3449044806666448</v>
      </c>
      <c r="T45" s="3">
        <f t="shared" si="43"/>
        <v>1.2442654095979466</v>
      </c>
      <c r="U45" s="13" t="str">
        <f t="shared" si="44"/>
        <v>A</v>
      </c>
      <c r="AI45" t="s">
        <v>72</v>
      </c>
      <c r="AO45" s="21"/>
      <c r="AP45" s="21"/>
      <c r="AQ45" s="20"/>
      <c r="AR45" s="20"/>
      <c r="AS45" s="22"/>
      <c r="AT45" s="22"/>
    </row>
    <row r="46" spans="15:46" x14ac:dyDescent="0.25">
      <c r="O46" s="5" t="s">
        <v>25</v>
      </c>
      <c r="P46" s="6">
        <f t="shared" ref="P46" si="47">P28</f>
        <v>-0.98533370177221036</v>
      </c>
      <c r="Q46" s="6">
        <f t="shared" si="42"/>
        <v>0.50891335780798252</v>
      </c>
      <c r="R46" s="3">
        <f t="shared" si="46"/>
        <v>0.30143008802333016</v>
      </c>
      <c r="S46" s="3">
        <f t="shared" si="43"/>
        <v>2.499298564258011</v>
      </c>
      <c r="T46" s="3">
        <f t="shared" si="43"/>
        <v>2.0354715831785897</v>
      </c>
      <c r="U46" s="13" t="str">
        <f t="shared" si="44"/>
        <v>A</v>
      </c>
      <c r="AI46" t="s">
        <v>68</v>
      </c>
      <c r="AO46" s="21"/>
      <c r="AP46" s="21"/>
      <c r="AQ46" s="20"/>
      <c r="AR46" s="20"/>
      <c r="AS46" s="22"/>
      <c r="AT46" s="22"/>
    </row>
    <row r="47" spans="15:46" x14ac:dyDescent="0.25">
      <c r="O47" s="5" t="s">
        <v>26</v>
      </c>
      <c r="P47" s="6">
        <f t="shared" ref="P47" si="48">P29</f>
        <v>1.7894566078161982</v>
      </c>
      <c r="Q47" s="6">
        <f t="shared" si="42"/>
        <v>8.4818892967997092E-2</v>
      </c>
      <c r="R47" s="3">
        <f t="shared" si="46"/>
        <v>2.5944752797824404</v>
      </c>
      <c r="S47" s="3">
        <f t="shared" si="43"/>
        <v>0.47165589410689285</v>
      </c>
      <c r="T47" s="3">
        <f t="shared" si="43"/>
        <v>2.5446925835767118</v>
      </c>
      <c r="U47" s="13" t="str">
        <f t="shared" si="44"/>
        <v>B</v>
      </c>
      <c r="AI47" t="s">
        <v>64</v>
      </c>
      <c r="AO47" s="21"/>
      <c r="AP47" s="21"/>
      <c r="AQ47" s="20"/>
      <c r="AR47" s="20"/>
      <c r="AS47" s="22"/>
      <c r="AT47" s="22"/>
    </row>
    <row r="48" spans="15:46" x14ac:dyDescent="0.25">
      <c r="O48" s="5" t="s">
        <v>27</v>
      </c>
      <c r="P48" s="6">
        <f t="shared" ref="P48" si="49">P30</f>
        <v>0.6568891345148069</v>
      </c>
      <c r="Q48" s="6">
        <f t="shared" si="42"/>
        <v>-0.76337003671197379</v>
      </c>
      <c r="R48" s="3">
        <f t="shared" si="46"/>
        <v>2.0049307370007359</v>
      </c>
      <c r="S48" s="3">
        <f t="shared" si="43"/>
        <v>0.94331178821378558</v>
      </c>
      <c r="T48" s="3">
        <f t="shared" si="43"/>
        <v>1.1303628300874882</v>
      </c>
      <c r="U48" s="13" t="str">
        <f t="shared" si="44"/>
        <v>B</v>
      </c>
      <c r="AI48" t="s">
        <v>69</v>
      </c>
      <c r="AL48" s="19" t="str" cm="1">
        <f t="array" ref="AL48:AL50">TRANSPOSE(_xlfn.ANCHORARRAY(AI9))</f>
        <v>(-0.736,0.679)</v>
      </c>
      <c r="AO48" s="21" cm="1">
        <f t="array" ref="AO48">VALUE(INDEX(_xlfn.TEXTSPLIT(TRIM(SUBSTITUTE(SUBSTITUTE(_xlfn.TEXTAFTER(AI48, ":"), "[", ""), "]", "")), " "), 1))</f>
        <v>-0.73616886000000004</v>
      </c>
      <c r="AP48" s="21" cm="1">
        <f t="array" ref="AP48">VALUE(INDEX(_xlfn.TEXTSPLIT(TRIM(SUBSTITUTE(SUBSTITUTE(_xlfn.TEXTAFTER(AI48, ":"), "[", ""), "]", "")), " "), 2))</f>
        <v>0.67855114000000005</v>
      </c>
      <c r="AQ48" s="20">
        <f>VALUE(_xlfn.TEXTAFTER(_xlfn.TEXTBEFORE(AL48, ","), "("))</f>
        <v>-0.73599999999999999</v>
      </c>
      <c r="AR48" s="20">
        <f>VALUE(_xlfn.TEXTBEFORE(_xlfn.TEXTAFTER(AL48, ","), ")"))</f>
        <v>0.67900000000000005</v>
      </c>
      <c r="AS48" s="23">
        <f t="shared" ref="AS48:AS50" si="50">IF(ABS(AO48-AQ48)&lt;0.001,0)</f>
        <v>0</v>
      </c>
      <c r="AT48" s="23">
        <f t="shared" ref="AT48:AT50" si="51">IF(ABS(AP48-AR48)&lt;0.001,0)</f>
        <v>0</v>
      </c>
    </row>
    <row r="49" spans="15:46" x14ac:dyDescent="0.25">
      <c r="O49" s="5" t="s">
        <v>28</v>
      </c>
      <c r="P49" s="6">
        <f t="shared" ref="P49" si="52">P31</f>
        <v>1.7894566078161982</v>
      </c>
      <c r="Q49" s="6">
        <f t="shared" si="42"/>
        <v>8.4818892967997092E-2</v>
      </c>
      <c r="R49" s="3">
        <f t="shared" si="46"/>
        <v>2.5944752797824404</v>
      </c>
      <c r="S49" s="3">
        <f t="shared" si="43"/>
        <v>0.47165589410689285</v>
      </c>
      <c r="T49" s="3">
        <f t="shared" si="43"/>
        <v>2.5446925835767118</v>
      </c>
      <c r="U49" s="13" t="str">
        <f t="shared" si="44"/>
        <v>B</v>
      </c>
      <c r="AI49" t="s">
        <v>70</v>
      </c>
      <c r="AL49" s="19" t="str">
        <v>(1.412,-0.198)</v>
      </c>
      <c r="AO49" s="21" cm="1">
        <f t="array" ref="AO49">VALUE(INDEX(_xlfn.TEXTSPLIT(TRIM(SUBSTITUTE(SUBSTITUTE(_xlfn.TEXTAFTER(AI49, ":"), "[", ""), "]", "")), " "), 1))</f>
        <v>1.41193412</v>
      </c>
      <c r="AP49" s="21" cm="1">
        <f t="array" ref="AP49">VALUE(INDEX(_xlfn.TEXTSPLIT(TRIM(SUBSTITUTE(SUBSTITUTE(_xlfn.TEXTAFTER(AI49, ":"), "[", ""), "]", "")), " "), 2))</f>
        <v>-0.19791075</v>
      </c>
      <c r="AQ49" s="20">
        <f t="shared" ref="AQ49:AQ50" si="53">VALUE(_xlfn.TEXTAFTER(_xlfn.TEXTBEFORE(AL49, ","), "("))</f>
        <v>1.4119999999999999</v>
      </c>
      <c r="AR49" s="20">
        <f t="shared" ref="AR49:AR50" si="54">VALUE(_xlfn.TEXTBEFORE(_xlfn.TEXTAFTER(AL49, ","), ")"))</f>
        <v>-0.19800000000000001</v>
      </c>
      <c r="AS49" s="23">
        <f t="shared" si="50"/>
        <v>0</v>
      </c>
      <c r="AT49" s="23">
        <f t="shared" si="51"/>
        <v>0</v>
      </c>
    </row>
    <row r="50" spans="15:46" x14ac:dyDescent="0.25">
      <c r="O50" s="5" t="s">
        <v>29</v>
      </c>
      <c r="P50" s="6">
        <f t="shared" ref="P50" si="55">P32</f>
        <v>-0.47567833878658433</v>
      </c>
      <c r="Q50" s="6">
        <f t="shared" si="42"/>
        <v>1.7811967523279388</v>
      </c>
      <c r="R50" s="3">
        <f t="shared" si="46"/>
        <v>1.1329971970596813</v>
      </c>
      <c r="S50" s="3">
        <f t="shared" si="43"/>
        <v>2.734949229686368</v>
      </c>
      <c r="T50" s="3">
        <f t="shared" si="43"/>
        <v>3.1868776946163999</v>
      </c>
      <c r="U50" s="13" t="str">
        <f t="shared" si="44"/>
        <v>A</v>
      </c>
      <c r="AI50" t="s">
        <v>71</v>
      </c>
      <c r="AL50" s="19" t="str">
        <v>(-0.277,-1.400)</v>
      </c>
      <c r="AO50" s="21" cm="1">
        <f t="array" ref="AO50">VALUE(INDEX(_xlfn.TEXTSPLIT(TRIM(SUBSTITUTE(SUBSTITUTE(_xlfn.TEXTAFTER(AI50, ":"), "[", ""), "]", "")), " "), 1))</f>
        <v>-0.27747903000000002</v>
      </c>
      <c r="AP50" s="21" cm="1">
        <f t="array" ref="AP50">VALUE(INDEX(_xlfn.TEXTSPLIT(TRIM(SUBSTITUTE(SUBSTITUTE(_xlfn.TEXTAFTER(AI50, ":"), "[", ""), "]", "")), " "), 2))</f>
        <v>-1.39951173</v>
      </c>
      <c r="AQ50" s="20">
        <f t="shared" si="53"/>
        <v>-0.27700000000000002</v>
      </c>
      <c r="AR50" s="20">
        <f t="shared" si="54"/>
        <v>-1.4</v>
      </c>
      <c r="AS50" s="23">
        <f t="shared" si="50"/>
        <v>0</v>
      </c>
      <c r="AT50" s="23">
        <f t="shared" si="51"/>
        <v>0</v>
      </c>
    </row>
    <row r="51" spans="15:46" x14ac:dyDescent="0.25">
      <c r="O51" s="5" t="s">
        <v>30</v>
      </c>
      <c r="P51" s="6">
        <f t="shared" ref="P51" si="56">P33</f>
        <v>-0.41904996512151477</v>
      </c>
      <c r="Q51" s="6">
        <f t="shared" si="42"/>
        <v>1.3571022874879535</v>
      </c>
      <c r="R51" s="3">
        <f t="shared" si="46"/>
        <v>0.74899669336530073</v>
      </c>
      <c r="S51" s="3">
        <f t="shared" si="43"/>
        <v>2.4022007109114227</v>
      </c>
      <c r="T51" s="3">
        <f t="shared" si="43"/>
        <v>2.7602469441535562</v>
      </c>
      <c r="U51" s="13" t="str">
        <f t="shared" si="44"/>
        <v>A</v>
      </c>
    </row>
    <row r="52" spans="15:46" x14ac:dyDescent="0.25">
      <c r="O52" s="5" t="s">
        <v>31</v>
      </c>
      <c r="P52" s="6">
        <f t="shared" ref="P52" si="57">P34</f>
        <v>-0.19253647046123651</v>
      </c>
      <c r="Q52" s="6">
        <f t="shared" si="42"/>
        <v>-1.1874645015519594</v>
      </c>
      <c r="R52" s="3">
        <f t="shared" si="46"/>
        <v>1.9435921796728113</v>
      </c>
      <c r="S52" s="3">
        <f t="shared" si="43"/>
        <v>1.8850842134543102</v>
      </c>
      <c r="T52" s="3">
        <f t="shared" si="43"/>
        <v>0.22842781652169153</v>
      </c>
      <c r="U52" s="13" t="str">
        <f t="shared" si="44"/>
        <v>C</v>
      </c>
      <c r="AI52" t="s">
        <v>73</v>
      </c>
    </row>
    <row r="53" spans="15:46" x14ac:dyDescent="0.25">
      <c r="O53" s="5" t="s">
        <v>32</v>
      </c>
      <c r="P53" s="6">
        <f t="shared" ref="P53" si="58">P35</f>
        <v>-0.3624215914564452</v>
      </c>
      <c r="Q53" s="6">
        <f t="shared" si="42"/>
        <v>-1.6115589663919447</v>
      </c>
      <c r="R53" s="3">
        <f t="shared" si="46"/>
        <v>2.3204075796141628</v>
      </c>
      <c r="S53" s="3">
        <f t="shared" si="43"/>
        <v>2.2686426466281584</v>
      </c>
      <c r="T53" s="3">
        <f t="shared" si="43"/>
        <v>0.22842781652169153</v>
      </c>
      <c r="U53" s="13" t="str">
        <f t="shared" si="44"/>
        <v>C</v>
      </c>
      <c r="AI53" t="s">
        <v>80</v>
      </c>
    </row>
    <row r="54" spans="15:46" x14ac:dyDescent="0.25">
      <c r="AI54" t="s">
        <v>9</v>
      </c>
    </row>
    <row r="55" spans="15:46" x14ac:dyDescent="0.25">
      <c r="AI55" t="s">
        <v>74</v>
      </c>
      <c r="AL55" s="19" t="str">
        <f>X35</f>
        <v>P2</v>
      </c>
      <c r="AP55" s="21" t="str" cm="1">
        <f t="array" ref="AP55">INDEX(_xlfn.TEXTSPLIT(TRIM(AI55)," "),3)</f>
        <v>2.0</v>
      </c>
      <c r="AR55" s="19" t="str">
        <f>RIGHT(AL55,1)</f>
        <v>2</v>
      </c>
      <c r="AT55" s="23">
        <f t="shared" ref="AT55:AT57" si="59">IF(ABS(AP55-AR55)&lt;0.001,0)</f>
        <v>0</v>
      </c>
    </row>
    <row r="56" spans="15:46" x14ac:dyDescent="0.25">
      <c r="AI56" t="s">
        <v>75</v>
      </c>
      <c r="AL56" s="19" t="str">
        <f>AB35</f>
        <v>P3</v>
      </c>
      <c r="AP56" s="21" t="str" cm="1">
        <f t="array" ref="AP56">INDEX(_xlfn.TEXTSPLIT(TRIM(AI56)," "),3)</f>
        <v>3.0</v>
      </c>
      <c r="AR56" s="19" t="str">
        <f t="shared" ref="AR56:AR57" si="60">RIGHT(AL56,1)</f>
        <v>3</v>
      </c>
      <c r="AT56" s="23">
        <f t="shared" si="59"/>
        <v>0</v>
      </c>
    </row>
    <row r="57" spans="15:46" x14ac:dyDescent="0.25">
      <c r="AI57" t="s">
        <v>76</v>
      </c>
      <c r="AL57" s="19" t="str">
        <f>AF35</f>
        <v>P8</v>
      </c>
      <c r="AP57" s="21" t="str" cm="1">
        <f t="array" ref="AP57">INDEX(_xlfn.TEXTSPLIT(TRIM(AI57)," "),3)</f>
        <v>8.0</v>
      </c>
      <c r="AR57" s="19" t="str">
        <f t="shared" si="60"/>
        <v>8</v>
      </c>
      <c r="AT57" s="23">
        <f t="shared" si="59"/>
        <v>0</v>
      </c>
    </row>
    <row r="58" spans="15:46" x14ac:dyDescent="0.25">
      <c r="Q58" s="15" t="s">
        <v>22</v>
      </c>
      <c r="R58" s="15" t="str">
        <f>"("&amp;TEXT(R59,"0.000")&amp;","&amp;TEXT(R60,"0.000")&amp;")"</f>
        <v>(-0.736,0.679)</v>
      </c>
      <c r="S58" s="15" t="str">
        <f t="shared" ref="S58" si="61">"("&amp;TEXT(S59,"0.000")&amp;","&amp;TEXT(S60,"0.000")&amp;")"</f>
        <v>(1.412,-0.198)</v>
      </c>
      <c r="T58" s="15" t="str">
        <f t="shared" ref="T58" si="62">"("&amp;TEXT(T59,"0.000")&amp;","&amp;TEXT(T60,"0.000")&amp;")"</f>
        <v>(-0.277,-1.400)</v>
      </c>
    </row>
    <row r="59" spans="15:46" x14ac:dyDescent="0.25">
      <c r="Q59" s="15" t="s">
        <v>33</v>
      </c>
      <c r="R59" s="3">
        <f>AVERAGEIF($U44:$U53,R61,$P44:$P53)</f>
        <v>-0.73616885764590434</v>
      </c>
      <c r="S59" s="3">
        <f t="shared" ref="S59:T59" si="63">AVERAGEIF($U44:$U53,S61,$P44:$P53)</f>
        <v>1.4119341167157344</v>
      </c>
      <c r="T59" s="3">
        <f t="shared" si="63"/>
        <v>-0.27747903095884086</v>
      </c>
    </row>
    <row r="60" spans="15:46" x14ac:dyDescent="0.25">
      <c r="Q60" s="15" t="s">
        <v>34</v>
      </c>
      <c r="R60" s="6">
        <f>AVERAGEIF($U44:$U53,R61,$Q44:$Q53)</f>
        <v>0.67855114374397674</v>
      </c>
      <c r="S60" s="6">
        <f t="shared" ref="S60" si="64">AVERAGEIF($U44:$U53,S61,$Q44:$Q53)</f>
        <v>-0.1979107502586599</v>
      </c>
      <c r="T60" s="6">
        <f t="shared" ref="T60" si="65">AVERAGEIF($U44:$U53,T61,$Q44:$Q53)</f>
        <v>-1.3995117339719521</v>
      </c>
    </row>
    <row r="61" spans="15:46" x14ac:dyDescent="0.25">
      <c r="O61" s="4" t="s">
        <v>37</v>
      </c>
      <c r="P61" s="4" t="s">
        <v>17</v>
      </c>
      <c r="Q61" s="4" t="s">
        <v>18</v>
      </c>
      <c r="R61" s="4" t="s">
        <v>4</v>
      </c>
      <c r="S61" s="4" t="s">
        <v>5</v>
      </c>
      <c r="T61" s="4" t="s">
        <v>6</v>
      </c>
      <c r="U61" s="4" t="s">
        <v>13</v>
      </c>
    </row>
    <row r="62" spans="15:46" x14ac:dyDescent="0.25">
      <c r="O62" s="5" t="s">
        <v>23</v>
      </c>
      <c r="P62" s="6">
        <f>P44</f>
        <v>-0.87207695444207123</v>
      </c>
      <c r="Q62" s="6">
        <f t="shared" ref="Q62:Q71" si="66">Q44</f>
        <v>8.4818892967997092E-2</v>
      </c>
      <c r="R62" s="3">
        <f>SQRT(($P62-R$59)^2+($Q62-R$60)^2)</f>
        <v>0.60908866053003075</v>
      </c>
      <c r="S62" s="3">
        <f t="shared" ref="S62:T71" si="67">SQRT(($P62-S$59)^2+($Q62-S$60)^2)</f>
        <v>2.3014435957308401</v>
      </c>
      <c r="T62" s="3">
        <f t="shared" si="67"/>
        <v>1.5989947156518411</v>
      </c>
      <c r="U62" s="13" t="str">
        <f t="shared" ref="U62:U71" si="68">INDEX($R$7:$T$7,MATCH(MIN(R62:T62),R62:T62,0))</f>
        <v>A</v>
      </c>
    </row>
    <row r="63" spans="15:46" x14ac:dyDescent="0.25">
      <c r="O63" s="5" t="s">
        <v>24</v>
      </c>
      <c r="P63" s="6">
        <f t="shared" ref="P63" si="69">P45</f>
        <v>-0.92870532810714079</v>
      </c>
      <c r="Q63" s="6">
        <f t="shared" si="66"/>
        <v>-0.33927557187198837</v>
      </c>
      <c r="R63" s="3">
        <f t="shared" ref="R63:R71" si="70">SQRT(($P63-R$59)^2+($Q63-R$60)^2)</f>
        <v>1.03587717200412</v>
      </c>
      <c r="S63" s="3">
        <f t="shared" si="67"/>
        <v>2.3449044806666448</v>
      </c>
      <c r="T63" s="3">
        <f t="shared" si="67"/>
        <v>1.2442654095979466</v>
      </c>
      <c r="U63" s="13" t="str">
        <f t="shared" si="68"/>
        <v>A</v>
      </c>
    </row>
    <row r="64" spans="15:46" x14ac:dyDescent="0.25">
      <c r="O64" s="5" t="s">
        <v>25</v>
      </c>
      <c r="P64" s="6">
        <f t="shared" ref="P64" si="71">P46</f>
        <v>-0.98533370177221036</v>
      </c>
      <c r="Q64" s="6">
        <f t="shared" si="66"/>
        <v>0.50891335780798252</v>
      </c>
      <c r="R64" s="3">
        <f t="shared" si="70"/>
        <v>0.30143008802333016</v>
      </c>
      <c r="S64" s="3">
        <f t="shared" si="67"/>
        <v>2.499298564258011</v>
      </c>
      <c r="T64" s="3">
        <f t="shared" si="67"/>
        <v>2.0354715831785897</v>
      </c>
      <c r="U64" s="13" t="str">
        <f t="shared" si="68"/>
        <v>A</v>
      </c>
    </row>
    <row r="65" spans="15:21" x14ac:dyDescent="0.25">
      <c r="O65" s="5" t="s">
        <v>26</v>
      </c>
      <c r="P65" s="6">
        <f t="shared" ref="P65" si="72">P47</f>
        <v>1.7894566078161982</v>
      </c>
      <c r="Q65" s="6">
        <f t="shared" si="66"/>
        <v>8.4818892967997092E-2</v>
      </c>
      <c r="R65" s="3">
        <f t="shared" si="70"/>
        <v>2.5944752797824404</v>
      </c>
      <c r="S65" s="3">
        <f t="shared" si="67"/>
        <v>0.47165589410689285</v>
      </c>
      <c r="T65" s="3">
        <f t="shared" si="67"/>
        <v>2.5446925835767118</v>
      </c>
      <c r="U65" s="13" t="str">
        <f t="shared" si="68"/>
        <v>B</v>
      </c>
    </row>
    <row r="66" spans="15:21" x14ac:dyDescent="0.25">
      <c r="O66" s="5" t="s">
        <v>27</v>
      </c>
      <c r="P66" s="6">
        <f t="shared" ref="P66" si="73">P48</f>
        <v>0.6568891345148069</v>
      </c>
      <c r="Q66" s="6">
        <f t="shared" si="66"/>
        <v>-0.76337003671197379</v>
      </c>
      <c r="R66" s="3">
        <f t="shared" si="70"/>
        <v>2.0049307370007359</v>
      </c>
      <c r="S66" s="3">
        <f t="shared" si="67"/>
        <v>0.94331178821378558</v>
      </c>
      <c r="T66" s="3">
        <f t="shared" si="67"/>
        <v>1.1303628300874882</v>
      </c>
      <c r="U66" s="13" t="str">
        <f t="shared" si="68"/>
        <v>B</v>
      </c>
    </row>
    <row r="67" spans="15:21" x14ac:dyDescent="0.25">
      <c r="O67" s="5" t="s">
        <v>28</v>
      </c>
      <c r="P67" s="6">
        <f t="shared" ref="P67" si="74">P49</f>
        <v>1.7894566078161982</v>
      </c>
      <c r="Q67" s="6">
        <f t="shared" si="66"/>
        <v>8.4818892967997092E-2</v>
      </c>
      <c r="R67" s="3">
        <f t="shared" si="70"/>
        <v>2.5944752797824404</v>
      </c>
      <c r="S67" s="3">
        <f t="shared" si="67"/>
        <v>0.47165589410689285</v>
      </c>
      <c r="T67" s="3">
        <f t="shared" si="67"/>
        <v>2.5446925835767118</v>
      </c>
      <c r="U67" s="13" t="str">
        <f t="shared" si="68"/>
        <v>B</v>
      </c>
    </row>
    <row r="68" spans="15:21" x14ac:dyDescent="0.25">
      <c r="O68" s="5" t="s">
        <v>29</v>
      </c>
      <c r="P68" s="6">
        <f t="shared" ref="P68" si="75">P50</f>
        <v>-0.47567833878658433</v>
      </c>
      <c r="Q68" s="6">
        <f t="shared" si="66"/>
        <v>1.7811967523279388</v>
      </c>
      <c r="R68" s="3">
        <f t="shared" si="70"/>
        <v>1.1329971970596813</v>
      </c>
      <c r="S68" s="3">
        <f t="shared" si="67"/>
        <v>2.734949229686368</v>
      </c>
      <c r="T68" s="3">
        <f t="shared" si="67"/>
        <v>3.1868776946163999</v>
      </c>
      <c r="U68" s="13" t="str">
        <f t="shared" si="68"/>
        <v>A</v>
      </c>
    </row>
    <row r="69" spans="15:21" x14ac:dyDescent="0.25">
      <c r="O69" s="5" t="s">
        <v>30</v>
      </c>
      <c r="P69" s="6">
        <f t="shared" ref="P69" si="76">P51</f>
        <v>-0.41904996512151477</v>
      </c>
      <c r="Q69" s="6">
        <f t="shared" si="66"/>
        <v>1.3571022874879535</v>
      </c>
      <c r="R69" s="3">
        <f t="shared" si="70"/>
        <v>0.74899669336530073</v>
      </c>
      <c r="S69" s="3">
        <f t="shared" si="67"/>
        <v>2.4022007109114227</v>
      </c>
      <c r="T69" s="3">
        <f t="shared" si="67"/>
        <v>2.7602469441535562</v>
      </c>
      <c r="U69" s="13" t="str">
        <f t="shared" si="68"/>
        <v>A</v>
      </c>
    </row>
    <row r="70" spans="15:21" x14ac:dyDescent="0.25">
      <c r="O70" s="5" t="s">
        <v>31</v>
      </c>
      <c r="P70" s="6">
        <f t="shared" ref="P70" si="77">P52</f>
        <v>-0.19253647046123651</v>
      </c>
      <c r="Q70" s="6">
        <f t="shared" si="66"/>
        <v>-1.1874645015519594</v>
      </c>
      <c r="R70" s="3">
        <f t="shared" si="70"/>
        <v>1.9435921796728113</v>
      </c>
      <c r="S70" s="3">
        <f t="shared" si="67"/>
        <v>1.8850842134543102</v>
      </c>
      <c r="T70" s="3">
        <f t="shared" si="67"/>
        <v>0.22842781652169153</v>
      </c>
      <c r="U70" s="13" t="str">
        <f t="shared" si="68"/>
        <v>C</v>
      </c>
    </row>
    <row r="71" spans="15:21" x14ac:dyDescent="0.25">
      <c r="O71" s="5" t="s">
        <v>32</v>
      </c>
      <c r="P71" s="6">
        <f t="shared" ref="P71" si="78">P53</f>
        <v>-0.3624215914564452</v>
      </c>
      <c r="Q71" s="6">
        <f t="shared" si="66"/>
        <v>-1.6115589663919447</v>
      </c>
      <c r="R71" s="3">
        <f t="shared" si="70"/>
        <v>2.3204075796141628</v>
      </c>
      <c r="S71" s="3">
        <f t="shared" si="67"/>
        <v>2.2686426466281584</v>
      </c>
      <c r="T71" s="3">
        <f t="shared" si="67"/>
        <v>0.22842781652169153</v>
      </c>
      <c r="U71" s="13" t="str">
        <f t="shared" si="68"/>
        <v>C</v>
      </c>
    </row>
    <row r="76" spans="15:21" x14ac:dyDescent="0.25">
      <c r="Q76" s="15" t="s">
        <v>22</v>
      </c>
      <c r="R76" s="15" t="str">
        <f>"("&amp;TEXT(R77,"0.000")&amp;","&amp;TEXT(R78,"0.000")&amp;")"</f>
        <v>(-0.736,0.679)</v>
      </c>
      <c r="S76" s="15" t="str">
        <f t="shared" ref="S76" si="79">"("&amp;TEXT(S77,"0.000")&amp;","&amp;TEXT(S78,"0.000")&amp;")"</f>
        <v>(1.412,-0.198)</v>
      </c>
      <c r="T76" s="15" t="str">
        <f t="shared" ref="T76" si="80">"("&amp;TEXT(T77,"0.000")&amp;","&amp;TEXT(T78,"0.000")&amp;")"</f>
        <v>(-0.277,-1.400)</v>
      </c>
    </row>
    <row r="77" spans="15:21" x14ac:dyDescent="0.25">
      <c r="Q77" s="15" t="s">
        <v>33</v>
      </c>
      <c r="R77" s="3">
        <f>AVERAGEIF($U62:$U71,R79,$P62:$P71)</f>
        <v>-0.73616885764590434</v>
      </c>
      <c r="S77" s="3">
        <f t="shared" ref="S77:T77" si="81">AVERAGEIF($U62:$U71,S79,$P62:$P71)</f>
        <v>1.4119341167157344</v>
      </c>
      <c r="T77" s="3">
        <f t="shared" si="81"/>
        <v>-0.27747903095884086</v>
      </c>
    </row>
    <row r="78" spans="15:21" x14ac:dyDescent="0.25">
      <c r="Q78" s="15" t="s">
        <v>34</v>
      </c>
      <c r="R78" s="6">
        <f>AVERAGEIF($U62:$U71,R79,$Q62:$Q71)</f>
        <v>0.67855114374397674</v>
      </c>
      <c r="S78" s="6">
        <f t="shared" ref="S78" si="82">AVERAGEIF($U62:$U71,S79,$Q62:$Q71)</f>
        <v>-0.1979107502586599</v>
      </c>
      <c r="T78" s="6">
        <f t="shared" ref="T78" si="83">AVERAGEIF($U62:$U71,T79,$Q62:$Q71)</f>
        <v>-1.3995117339719521</v>
      </c>
    </row>
    <row r="79" spans="15:21" x14ac:dyDescent="0.25">
      <c r="O79" s="4" t="s">
        <v>43</v>
      </c>
      <c r="P79" s="4" t="s">
        <v>17</v>
      </c>
      <c r="Q79" s="4" t="s">
        <v>18</v>
      </c>
      <c r="R79" s="4" t="s">
        <v>4</v>
      </c>
      <c r="S79" s="4" t="s">
        <v>5</v>
      </c>
      <c r="T79" s="4" t="s">
        <v>6</v>
      </c>
      <c r="U79" s="4" t="s">
        <v>13</v>
      </c>
    </row>
    <row r="80" spans="15:21" x14ac:dyDescent="0.25">
      <c r="O80" s="5" t="s">
        <v>23</v>
      </c>
      <c r="P80" s="6">
        <f>P62</f>
        <v>-0.87207695444207123</v>
      </c>
      <c r="Q80" s="6">
        <f t="shared" ref="Q80:Q89" si="84">Q62</f>
        <v>8.4818892967997092E-2</v>
      </c>
      <c r="R80" s="3">
        <f>SQRT(($P80-R$77)^2+($Q80-R$78)^2)</f>
        <v>0.60908866053003075</v>
      </c>
      <c r="S80" s="3">
        <f t="shared" ref="S80:T89" si="85">SQRT(($P80-S$77)^2+($Q80-S$78)^2)</f>
        <v>2.3014435957308401</v>
      </c>
      <c r="T80" s="3">
        <f t="shared" si="85"/>
        <v>1.5989947156518411</v>
      </c>
      <c r="U80" s="13" t="str">
        <f t="shared" ref="U80:U89" si="86">INDEX($R$7:$T$7,MATCH(MIN(R80:T80),R80:T80,0))</f>
        <v>A</v>
      </c>
    </row>
    <row r="81" spans="15:21" x14ac:dyDescent="0.25">
      <c r="O81" s="5" t="s">
        <v>24</v>
      </c>
      <c r="P81" s="6">
        <f t="shared" ref="P81" si="87">P63</f>
        <v>-0.92870532810714079</v>
      </c>
      <c r="Q81" s="6">
        <f t="shared" si="84"/>
        <v>-0.33927557187198837</v>
      </c>
      <c r="R81" s="3">
        <f t="shared" ref="R81:R89" si="88">SQRT(($P81-R$77)^2+($Q81-R$78)^2)</f>
        <v>1.03587717200412</v>
      </c>
      <c r="S81" s="3">
        <f t="shared" si="85"/>
        <v>2.3449044806666448</v>
      </c>
      <c r="T81" s="3">
        <f t="shared" si="85"/>
        <v>1.2442654095979466</v>
      </c>
      <c r="U81" s="13" t="str">
        <f t="shared" si="86"/>
        <v>A</v>
      </c>
    </row>
    <row r="82" spans="15:21" x14ac:dyDescent="0.25">
      <c r="O82" s="5" t="s">
        <v>25</v>
      </c>
      <c r="P82" s="6">
        <f t="shared" ref="P82" si="89">P64</f>
        <v>-0.98533370177221036</v>
      </c>
      <c r="Q82" s="6">
        <f t="shared" si="84"/>
        <v>0.50891335780798252</v>
      </c>
      <c r="R82" s="3">
        <f t="shared" si="88"/>
        <v>0.30143008802333016</v>
      </c>
      <c r="S82" s="3">
        <f t="shared" si="85"/>
        <v>2.499298564258011</v>
      </c>
      <c r="T82" s="3">
        <f t="shared" si="85"/>
        <v>2.0354715831785897</v>
      </c>
      <c r="U82" s="13" t="str">
        <f t="shared" si="86"/>
        <v>A</v>
      </c>
    </row>
    <row r="83" spans="15:21" x14ac:dyDescent="0.25">
      <c r="O83" s="5" t="s">
        <v>26</v>
      </c>
      <c r="P83" s="6">
        <f t="shared" ref="P83" si="90">P65</f>
        <v>1.7894566078161982</v>
      </c>
      <c r="Q83" s="6">
        <f t="shared" si="84"/>
        <v>8.4818892967997092E-2</v>
      </c>
      <c r="R83" s="3">
        <f t="shared" si="88"/>
        <v>2.5944752797824404</v>
      </c>
      <c r="S83" s="3">
        <f t="shared" si="85"/>
        <v>0.47165589410689285</v>
      </c>
      <c r="T83" s="3">
        <f t="shared" si="85"/>
        <v>2.5446925835767118</v>
      </c>
      <c r="U83" s="13" t="str">
        <f t="shared" si="86"/>
        <v>B</v>
      </c>
    </row>
    <row r="84" spans="15:21" x14ac:dyDescent="0.25">
      <c r="O84" s="5" t="s">
        <v>27</v>
      </c>
      <c r="P84" s="6">
        <f t="shared" ref="P84" si="91">P66</f>
        <v>0.6568891345148069</v>
      </c>
      <c r="Q84" s="6">
        <f t="shared" si="84"/>
        <v>-0.76337003671197379</v>
      </c>
      <c r="R84" s="3">
        <f t="shared" si="88"/>
        <v>2.0049307370007359</v>
      </c>
      <c r="S84" s="3">
        <f t="shared" si="85"/>
        <v>0.94331178821378558</v>
      </c>
      <c r="T84" s="3">
        <f t="shared" si="85"/>
        <v>1.1303628300874882</v>
      </c>
      <c r="U84" s="13" t="str">
        <f t="shared" si="86"/>
        <v>B</v>
      </c>
    </row>
    <row r="85" spans="15:21" x14ac:dyDescent="0.25">
      <c r="O85" s="5" t="s">
        <v>28</v>
      </c>
      <c r="P85" s="6">
        <f t="shared" ref="P85" si="92">P67</f>
        <v>1.7894566078161982</v>
      </c>
      <c r="Q85" s="6">
        <f t="shared" si="84"/>
        <v>8.4818892967997092E-2</v>
      </c>
      <c r="R85" s="3">
        <f t="shared" si="88"/>
        <v>2.5944752797824404</v>
      </c>
      <c r="S85" s="3">
        <f t="shared" si="85"/>
        <v>0.47165589410689285</v>
      </c>
      <c r="T85" s="3">
        <f t="shared" si="85"/>
        <v>2.5446925835767118</v>
      </c>
      <c r="U85" s="13" t="str">
        <f t="shared" si="86"/>
        <v>B</v>
      </c>
    </row>
    <row r="86" spans="15:21" x14ac:dyDescent="0.25">
      <c r="O86" s="5" t="s">
        <v>29</v>
      </c>
      <c r="P86" s="6">
        <f t="shared" ref="P86" si="93">P68</f>
        <v>-0.47567833878658433</v>
      </c>
      <c r="Q86" s="6">
        <f t="shared" si="84"/>
        <v>1.7811967523279388</v>
      </c>
      <c r="R86" s="3">
        <f t="shared" si="88"/>
        <v>1.1329971970596813</v>
      </c>
      <c r="S86" s="3">
        <f t="shared" si="85"/>
        <v>2.734949229686368</v>
      </c>
      <c r="T86" s="3">
        <f t="shared" si="85"/>
        <v>3.1868776946163999</v>
      </c>
      <c r="U86" s="13" t="str">
        <f t="shared" si="86"/>
        <v>A</v>
      </c>
    </row>
    <row r="87" spans="15:21" x14ac:dyDescent="0.25">
      <c r="O87" s="5" t="s">
        <v>30</v>
      </c>
      <c r="P87" s="6">
        <f t="shared" ref="P87" si="94">P69</f>
        <v>-0.41904996512151477</v>
      </c>
      <c r="Q87" s="6">
        <f t="shared" si="84"/>
        <v>1.3571022874879535</v>
      </c>
      <c r="R87" s="3">
        <f t="shared" si="88"/>
        <v>0.74899669336530073</v>
      </c>
      <c r="S87" s="3">
        <f t="shared" si="85"/>
        <v>2.4022007109114227</v>
      </c>
      <c r="T87" s="3">
        <f t="shared" si="85"/>
        <v>2.7602469441535562</v>
      </c>
      <c r="U87" s="13" t="str">
        <f t="shared" si="86"/>
        <v>A</v>
      </c>
    </row>
    <row r="88" spans="15:21" x14ac:dyDescent="0.25">
      <c r="O88" s="5" t="s">
        <v>31</v>
      </c>
      <c r="P88" s="6">
        <f t="shared" ref="P88" si="95">P70</f>
        <v>-0.19253647046123651</v>
      </c>
      <c r="Q88" s="6">
        <f t="shared" si="84"/>
        <v>-1.1874645015519594</v>
      </c>
      <c r="R88" s="3">
        <f t="shared" si="88"/>
        <v>1.9435921796728113</v>
      </c>
      <c r="S88" s="3">
        <f t="shared" si="85"/>
        <v>1.8850842134543102</v>
      </c>
      <c r="T88" s="3">
        <f t="shared" si="85"/>
        <v>0.22842781652169153</v>
      </c>
      <c r="U88" s="13" t="str">
        <f t="shared" si="86"/>
        <v>C</v>
      </c>
    </row>
    <row r="89" spans="15:21" x14ac:dyDescent="0.25">
      <c r="O89" s="5" t="s">
        <v>32</v>
      </c>
      <c r="P89" s="6">
        <f t="shared" ref="P89" si="96">P71</f>
        <v>-0.3624215914564452</v>
      </c>
      <c r="Q89" s="6">
        <f t="shared" si="84"/>
        <v>-1.6115589663919447</v>
      </c>
      <c r="R89" s="3">
        <f t="shared" si="88"/>
        <v>2.3204075796141628</v>
      </c>
      <c r="S89" s="3">
        <f t="shared" si="85"/>
        <v>2.2686426466281584</v>
      </c>
      <c r="T89" s="3">
        <f t="shared" si="85"/>
        <v>0.22842781652169153</v>
      </c>
      <c r="U89" s="13" t="str">
        <f t="shared" si="86"/>
        <v>C</v>
      </c>
    </row>
  </sheetData>
  <mergeCells count="3">
    <mergeCell ref="X4:X5"/>
    <mergeCell ref="Y4:AE4"/>
    <mergeCell ref="AI4:A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87234-23D1-4D95-B89E-0142A831FD6B}">
  <dimension ref="A1:AT89"/>
  <sheetViews>
    <sheetView tabSelected="1" topLeftCell="U22" workbookViewId="0">
      <selection activeCell="AH25" sqref="AH25"/>
    </sheetView>
  </sheetViews>
  <sheetFormatPr defaultRowHeight="15" x14ac:dyDescent="0.25"/>
  <cols>
    <col min="5" max="6" width="10" bestFit="1" customWidth="1"/>
    <col min="13" max="13" width="11.140625" bestFit="1" customWidth="1"/>
    <col min="35" max="35" width="12.85546875" bestFit="1" customWidth="1"/>
    <col min="36" max="36" width="13.7109375" bestFit="1" customWidth="1"/>
    <col min="37" max="37" width="12.85546875" bestFit="1" customWidth="1"/>
    <col min="38" max="38" width="13.7109375" bestFit="1" customWidth="1"/>
  </cols>
  <sheetData>
    <row r="1" spans="1:37" x14ac:dyDescent="0.25">
      <c r="A1" s="1" t="s">
        <v>0</v>
      </c>
      <c r="B1" s="1" t="s">
        <v>1</v>
      </c>
      <c r="C1" s="1" t="s">
        <v>3</v>
      </c>
      <c r="D1" s="1" t="s">
        <v>8</v>
      </c>
      <c r="E1" s="1" t="s">
        <v>19</v>
      </c>
      <c r="F1" s="1" t="s">
        <v>102</v>
      </c>
      <c r="P1" s="1"/>
    </row>
    <row r="2" spans="1:37" x14ac:dyDescent="0.25">
      <c r="A2">
        <v>0</v>
      </c>
      <c r="B2">
        <v>300</v>
      </c>
      <c r="C2">
        <v>50000</v>
      </c>
      <c r="D2" t="s">
        <v>4</v>
      </c>
      <c r="E2" s="10">
        <f>STANDARDIZE(B2,B$13,B$14)*$P$5</f>
        <v>-0.87207695444207123</v>
      </c>
      <c r="F2" s="10">
        <f>STANDARDIZE(C2,C$13,C$14)*$P$6</f>
        <v>0.25445667890399126</v>
      </c>
      <c r="P2" s="1" t="s">
        <v>48</v>
      </c>
      <c r="Q2" s="17">
        <v>1</v>
      </c>
      <c r="R2" s="17">
        <v>5</v>
      </c>
      <c r="S2" s="17">
        <v>9</v>
      </c>
    </row>
    <row r="3" spans="1:37" x14ac:dyDescent="0.25">
      <c r="A3">
        <v>1</v>
      </c>
      <c r="B3">
        <v>200</v>
      </c>
      <c r="C3">
        <v>40000</v>
      </c>
      <c r="D3" t="s">
        <v>4</v>
      </c>
      <c r="E3" s="10">
        <f t="shared" ref="E3:E11" si="0">STANDARDIZE(B3,B$13,B$14)*$P$5</f>
        <v>-0.92870532810714079</v>
      </c>
      <c r="F3" s="10">
        <f t="shared" ref="F3:F11" si="1">STANDARDIZE(C3,C$13,C$14)*$P$6</f>
        <v>-1.017826715615965</v>
      </c>
      <c r="L3" s="1"/>
      <c r="M3" s="1"/>
      <c r="P3" s="1"/>
    </row>
    <row r="4" spans="1:37" x14ac:dyDescent="0.25">
      <c r="A4">
        <v>2</v>
      </c>
      <c r="B4">
        <v>100</v>
      </c>
      <c r="C4">
        <v>60000</v>
      </c>
      <c r="D4" t="s">
        <v>4</v>
      </c>
      <c r="E4" s="10">
        <f t="shared" si="0"/>
        <v>-0.98533370177221036</v>
      </c>
      <c r="F4" s="10">
        <f t="shared" si="1"/>
        <v>1.5267400734239476</v>
      </c>
      <c r="P4" s="15" t="s">
        <v>77</v>
      </c>
      <c r="Q4" s="15" t="s">
        <v>22</v>
      </c>
      <c r="R4" s="15" t="str">
        <f>"("&amp;TEXT(R5,"0.000")&amp;","&amp;TEXT(R6,"0.000")&amp;")"</f>
        <v>(-0.929,-1.018)</v>
      </c>
      <c r="S4" s="15" t="str">
        <f t="shared" ref="S4:T4" si="2">"("&amp;TEXT(S5,"0.000")&amp;","&amp;TEXT(S6,"0.000")&amp;")"</f>
        <v>(1.789,0.254)</v>
      </c>
      <c r="T4" s="15" t="str">
        <f t="shared" si="2"/>
        <v>(-0.362,-4.835)</v>
      </c>
      <c r="X4" s="24" t="s">
        <v>14</v>
      </c>
      <c r="Y4" s="26" t="s">
        <v>15</v>
      </c>
      <c r="Z4" s="26"/>
      <c r="AA4" s="26"/>
      <c r="AB4" s="26"/>
      <c r="AC4" s="26"/>
      <c r="AD4" s="26"/>
      <c r="AE4" s="26"/>
      <c r="AF4" s="14"/>
      <c r="AG4" s="14"/>
      <c r="AH4" s="14"/>
      <c r="AI4" s="26" t="s">
        <v>16</v>
      </c>
      <c r="AJ4" s="26"/>
      <c r="AK4" s="26"/>
    </row>
    <row r="5" spans="1:37" x14ac:dyDescent="0.25">
      <c r="A5">
        <v>3</v>
      </c>
      <c r="B5">
        <v>5000</v>
      </c>
      <c r="C5">
        <v>50000</v>
      </c>
      <c r="D5" t="s">
        <v>5</v>
      </c>
      <c r="E5" s="10">
        <f t="shared" si="0"/>
        <v>1.7894566078161982</v>
      </c>
      <c r="F5" s="10">
        <f t="shared" si="1"/>
        <v>0.25445667890399126</v>
      </c>
      <c r="O5" s="2" t="s">
        <v>11</v>
      </c>
      <c r="P5" s="18">
        <v>1</v>
      </c>
      <c r="Q5" s="15" t="s">
        <v>33</v>
      </c>
      <c r="R5" s="6">
        <f>INDEX($E$2:$E$11,MATCH(Q2,$A$2:$A$11,0))</f>
        <v>-0.92870532810714079</v>
      </c>
      <c r="S5" s="6">
        <f>INDEX($E$2:$E$11,MATCH(R2,$A$2:$A$11,0))</f>
        <v>1.7894566078161982</v>
      </c>
      <c r="T5" s="6">
        <f>INDEX($E$2:$E$11,MATCH(S2,$A$2:$A$11,0))</f>
        <v>-0.3624215914564452</v>
      </c>
      <c r="V5" s="12"/>
      <c r="X5" s="25"/>
      <c r="Y5" s="8" t="str" cm="1">
        <f t="array" ref="Y5:AH5">TRANSPOSE(O8:O17)</f>
        <v>P0</v>
      </c>
      <c r="Z5" s="8" t="str">
        <v>P1</v>
      </c>
      <c r="AA5" s="8" t="str">
        <v>P2</v>
      </c>
      <c r="AB5" s="8" t="str">
        <v>P3</v>
      </c>
      <c r="AC5" s="8" t="str">
        <v>P4</v>
      </c>
      <c r="AD5" s="8" t="str">
        <v>P5</v>
      </c>
      <c r="AE5" s="8" t="str">
        <v>P6</v>
      </c>
      <c r="AF5" s="8" t="str">
        <v>P7</v>
      </c>
      <c r="AG5" s="8" t="str">
        <v>P8</v>
      </c>
      <c r="AH5" s="8" t="str">
        <v>P9</v>
      </c>
      <c r="AI5" s="4" t="s">
        <v>4</v>
      </c>
      <c r="AJ5" s="4" t="s">
        <v>5</v>
      </c>
      <c r="AK5" s="4" t="s">
        <v>6</v>
      </c>
    </row>
    <row r="6" spans="1:37" x14ac:dyDescent="0.25">
      <c r="A6">
        <v>4</v>
      </c>
      <c r="B6">
        <v>3000</v>
      </c>
      <c r="C6">
        <v>30000</v>
      </c>
      <c r="D6" t="s">
        <v>5</v>
      </c>
      <c r="E6" s="10">
        <f t="shared" si="0"/>
        <v>0.6568891345148069</v>
      </c>
      <c r="F6" s="10">
        <f t="shared" si="1"/>
        <v>-2.2901101101359211</v>
      </c>
      <c r="P6" s="18">
        <v>3</v>
      </c>
      <c r="Q6" s="15" t="s">
        <v>34</v>
      </c>
      <c r="R6" s="6">
        <f>INDEX($F$2:$F$11,MATCH(Q2,$A$2:$A$11,0))</f>
        <v>-1.017826715615965</v>
      </c>
      <c r="S6" s="6">
        <f>INDEX($F$2:$F$11,MATCH(R2,$A$2:$A$11,0))</f>
        <v>0.25445667890399126</v>
      </c>
      <c r="T6" s="6">
        <f>INDEX($F$2:$F$11,MATCH(S2,$A$2:$A$11,0))</f>
        <v>-4.8346768991758342</v>
      </c>
      <c r="U6" s="12"/>
      <c r="V6" s="11"/>
      <c r="X6" s="5">
        <v>0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3" t="str" cm="1">
        <f t="array" ref="AI6:AK6">R4:T4</f>
        <v>(-0.929,-1.018)</v>
      </c>
      <c r="AJ6" s="3" t="str">
        <v>(1.789,0.254)</v>
      </c>
      <c r="AK6" s="3" t="str">
        <v>(-0.362,-4.835)</v>
      </c>
    </row>
    <row r="7" spans="1:37" x14ac:dyDescent="0.25">
      <c r="A7">
        <v>5</v>
      </c>
      <c r="B7">
        <v>5000</v>
      </c>
      <c r="C7">
        <v>50000</v>
      </c>
      <c r="D7" t="s">
        <v>5</v>
      </c>
      <c r="E7" s="10">
        <f t="shared" si="0"/>
        <v>1.7894566078161982</v>
      </c>
      <c r="F7" s="10">
        <f t="shared" si="1"/>
        <v>0.25445667890399126</v>
      </c>
      <c r="O7" s="4" t="s">
        <v>12</v>
      </c>
      <c r="P7" s="4" t="s">
        <v>17</v>
      </c>
      <c r="Q7" s="4" t="s">
        <v>18</v>
      </c>
      <c r="R7" s="4" t="s">
        <v>4</v>
      </c>
      <c r="S7" s="4" t="s">
        <v>5</v>
      </c>
      <c r="T7" s="4" t="s">
        <v>6</v>
      </c>
      <c r="U7" s="4" t="s">
        <v>13</v>
      </c>
      <c r="V7" s="11"/>
      <c r="X7" s="5">
        <v>1</v>
      </c>
      <c r="Y7" s="5" t="str" cm="1">
        <f t="array" ref="Y7:AH7">TRANSPOSE(U8:U17)</f>
        <v>A</v>
      </c>
      <c r="Z7" s="5" t="str">
        <v>A</v>
      </c>
      <c r="AA7" s="5" t="str">
        <v>A</v>
      </c>
      <c r="AB7" s="5" t="str">
        <v>B</v>
      </c>
      <c r="AC7" s="5" t="str">
        <v>A</v>
      </c>
      <c r="AD7" s="5" t="str">
        <v>B</v>
      </c>
      <c r="AE7" s="5" t="str">
        <v>B</v>
      </c>
      <c r="AF7" s="5" t="str">
        <v>B</v>
      </c>
      <c r="AG7" s="5" t="str">
        <v>C</v>
      </c>
      <c r="AH7" s="5" t="str">
        <v>C</v>
      </c>
      <c r="AI7" s="3" t="str" cm="1">
        <f t="array" ref="AI7:AK7">R22:T22</f>
        <v>(-0.532,-0.382)</v>
      </c>
      <c r="AJ7" s="3" t="str">
        <v>(0.671,2.481)</v>
      </c>
      <c r="AK7" s="3" t="str">
        <v>(-0.277,-4.199)</v>
      </c>
    </row>
    <row r="8" spans="1:37" x14ac:dyDescent="0.25">
      <c r="A8">
        <v>6</v>
      </c>
      <c r="B8">
        <v>1000</v>
      </c>
      <c r="C8">
        <v>90000</v>
      </c>
      <c r="D8" t="s">
        <v>6</v>
      </c>
      <c r="E8" s="10">
        <f t="shared" si="0"/>
        <v>-0.47567833878658433</v>
      </c>
      <c r="F8" s="10">
        <f t="shared" si="1"/>
        <v>5.3435902569838163</v>
      </c>
      <c r="O8" s="5" t="s">
        <v>23</v>
      </c>
      <c r="P8" s="6" cm="1">
        <f t="array" ref="P8:P17">E2:E11</f>
        <v>-0.87207695444207123</v>
      </c>
      <c r="Q8" s="6" cm="1">
        <f t="array" ref="Q8:Q17">F2:F11</f>
        <v>0.25445667890399126</v>
      </c>
      <c r="R8" s="3">
        <f>SQRT(($P8-R$5)^2+($Q8-R$6)^2)</f>
        <v>1.273543014065553</v>
      </c>
      <c r="S8" s="3">
        <f>SQRT(($P8-S$5)^2+($Q8-S$6)^2)</f>
        <v>2.6615335622582696</v>
      </c>
      <c r="T8" s="3">
        <f>SQRT(($P8-T$5)^2+($Q8-T$6)^2)</f>
        <v>5.1145898334626576</v>
      </c>
      <c r="U8" s="13" t="str">
        <f>INDEX($R$7:$T$7,MATCH(MIN(R8:T8),R8:T8,0))</f>
        <v>A</v>
      </c>
      <c r="V8" s="11"/>
      <c r="X8" s="5">
        <v>2</v>
      </c>
      <c r="Y8" s="5" t="str" cm="1">
        <f t="array" ref="Y8:AH8">TRANSPOSE(U26:U35)</f>
        <v>A</v>
      </c>
      <c r="Z8" s="5" t="str">
        <v>A</v>
      </c>
      <c r="AA8" s="5" t="str">
        <v>B</v>
      </c>
      <c r="AB8" s="5" t="str">
        <v>A</v>
      </c>
      <c r="AC8" s="5" t="str">
        <v>C</v>
      </c>
      <c r="AD8" s="5" t="str">
        <v>A</v>
      </c>
      <c r="AE8" s="5" t="str">
        <v>B</v>
      </c>
      <c r="AF8" s="5" t="str">
        <v>B</v>
      </c>
      <c r="AG8" s="5" t="str">
        <v>C</v>
      </c>
      <c r="AH8" s="5" t="str">
        <v>C</v>
      </c>
      <c r="AI8" s="3" t="str" cm="1">
        <f t="array" ref="AI8:AK8">R40:T40</f>
        <v>(0.445,-0.064)</v>
      </c>
      <c r="AJ8" s="3" t="str">
        <v>(-0.627,3.647)</v>
      </c>
      <c r="AK8" s="3" t="str">
        <v>(0.034,-3.562)</v>
      </c>
    </row>
    <row r="9" spans="1:37" x14ac:dyDescent="0.25">
      <c r="A9">
        <v>7</v>
      </c>
      <c r="B9">
        <v>1100</v>
      </c>
      <c r="C9">
        <v>80000</v>
      </c>
      <c r="D9" t="s">
        <v>6</v>
      </c>
      <c r="E9" s="10">
        <f t="shared" si="0"/>
        <v>-0.41904996512151477</v>
      </c>
      <c r="F9" s="10">
        <f t="shared" si="1"/>
        <v>4.0713068624638602</v>
      </c>
      <c r="O9" s="5" t="s">
        <v>24</v>
      </c>
      <c r="P9" s="6">
        <v>-0.92870532810714079</v>
      </c>
      <c r="Q9" s="6">
        <v>-1.017826715615965</v>
      </c>
      <c r="R9" s="3">
        <f t="shared" ref="R9:R17" si="3">SQRT(($P9-R$5)^2+($Q9-R$6)^2)</f>
        <v>0</v>
      </c>
      <c r="S9" s="3">
        <f t="shared" ref="S9:T17" si="4">SQRT(($P9-S$5)^2+($Q9-S$6)^2)</f>
        <v>3.001184657076891</v>
      </c>
      <c r="T9" s="3">
        <f t="shared" si="4"/>
        <v>3.8586296264523861</v>
      </c>
      <c r="U9" s="13" t="str">
        <f t="shared" ref="U9:U17" si="5">INDEX($R$7:$T$7,MATCH(MIN(R9:T9),R9:T9,0))</f>
        <v>A</v>
      </c>
      <c r="V9" s="11"/>
      <c r="X9" s="5">
        <v>3</v>
      </c>
      <c r="Y9" s="5" t="str" cm="1">
        <f t="array" ref="Y9:AH9">TRANSPOSE(U44:U53)</f>
        <v>A</v>
      </c>
      <c r="Z9" s="5" t="str">
        <v>A</v>
      </c>
      <c r="AA9" s="5" t="str">
        <v>A</v>
      </c>
      <c r="AB9" s="5" t="str">
        <v>A</v>
      </c>
      <c r="AC9" s="5" t="str">
        <v>C</v>
      </c>
      <c r="AD9" s="5" t="str">
        <v>A</v>
      </c>
      <c r="AE9" s="5" t="str">
        <v>B</v>
      </c>
      <c r="AF9" s="5" t="str">
        <v>B</v>
      </c>
      <c r="AG9" s="5" t="str">
        <v>C</v>
      </c>
      <c r="AH9" s="5" t="str">
        <v>C</v>
      </c>
      <c r="AI9" s="3" t="str" cm="1">
        <f t="array" ref="AI9:AK9">R58:T58</f>
        <v>(0.159,0.254)</v>
      </c>
      <c r="AJ9" s="3" t="str">
        <v>(-0.447,4.707)</v>
      </c>
      <c r="AK9" s="3" t="str">
        <v>(0.034,-3.562)</v>
      </c>
    </row>
    <row r="10" spans="1:37" x14ac:dyDescent="0.25">
      <c r="A10">
        <v>8</v>
      </c>
      <c r="B10">
        <v>1500</v>
      </c>
      <c r="C10">
        <v>20000</v>
      </c>
      <c r="D10" t="s">
        <v>7</v>
      </c>
      <c r="E10" s="10">
        <f t="shared" si="0"/>
        <v>-0.19253647046123651</v>
      </c>
      <c r="F10" s="10">
        <f t="shared" si="1"/>
        <v>-3.5623935046558781</v>
      </c>
      <c r="O10" s="5" t="s">
        <v>25</v>
      </c>
      <c r="P10" s="6">
        <v>-0.98533370177221036</v>
      </c>
      <c r="Q10" s="6">
        <v>1.5267400734239476</v>
      </c>
      <c r="R10" s="3">
        <f t="shared" si="3"/>
        <v>2.5451968325826675</v>
      </c>
      <c r="S10" s="3">
        <f t="shared" si="4"/>
        <v>3.0525671652163462</v>
      </c>
      <c r="T10" s="3">
        <f t="shared" si="4"/>
        <v>6.3918420972720078</v>
      </c>
      <c r="U10" s="13" t="str">
        <f t="shared" si="5"/>
        <v>A</v>
      </c>
      <c r="V10" s="11"/>
      <c r="X10" s="5">
        <v>4</v>
      </c>
      <c r="Y10" s="5" t="str" cm="1">
        <f t="array" ref="Y10:AH10">TRANSPOSE(U62:U71)</f>
        <v>A</v>
      </c>
      <c r="Z10" s="5" t="str">
        <v>A</v>
      </c>
      <c r="AA10" s="5" t="str">
        <v>A</v>
      </c>
      <c r="AB10" s="5" t="str">
        <v>A</v>
      </c>
      <c r="AC10" s="5" t="str">
        <v>C</v>
      </c>
      <c r="AD10" s="5" t="str">
        <v>A</v>
      </c>
      <c r="AE10" s="5" t="str">
        <v>B</v>
      </c>
      <c r="AF10" s="5" t="str">
        <v>B</v>
      </c>
      <c r="AG10" s="5" t="str">
        <v>C</v>
      </c>
      <c r="AH10" s="5" t="str">
        <v>C</v>
      </c>
      <c r="AI10" s="3" t="str" cm="1">
        <f t="array" ref="AI10:AK10">R76:T76</f>
        <v>(0.159,0.254)</v>
      </c>
      <c r="AJ10" s="3" t="str">
        <v>(-0.447,4.707)</v>
      </c>
      <c r="AK10" s="3" t="str">
        <v>(0.034,-3.562)</v>
      </c>
    </row>
    <row r="11" spans="1:37" x14ac:dyDescent="0.25">
      <c r="A11">
        <v>9</v>
      </c>
      <c r="B11">
        <v>1200</v>
      </c>
      <c r="C11">
        <v>10000</v>
      </c>
      <c r="D11" t="s">
        <v>7</v>
      </c>
      <c r="E11" s="10">
        <f t="shared" si="0"/>
        <v>-0.3624215914564452</v>
      </c>
      <c r="F11" s="10">
        <f t="shared" si="1"/>
        <v>-4.8346768991758342</v>
      </c>
      <c r="O11" s="5" t="s">
        <v>26</v>
      </c>
      <c r="P11" s="6">
        <v>1.7894566078161982</v>
      </c>
      <c r="Q11" s="6">
        <v>0.25445667890399126</v>
      </c>
      <c r="R11" s="3">
        <f t="shared" si="3"/>
        <v>3.001184657076891</v>
      </c>
      <c r="S11" s="3">
        <f t="shared" si="4"/>
        <v>0</v>
      </c>
      <c r="T11" s="3">
        <f t="shared" si="4"/>
        <v>5.5253832772075135</v>
      </c>
      <c r="U11" s="13" t="str">
        <f t="shared" si="5"/>
        <v>B</v>
      </c>
      <c r="V11" s="11"/>
    </row>
    <row r="12" spans="1:37" x14ac:dyDescent="0.25">
      <c r="O12" s="5" t="s">
        <v>27</v>
      </c>
      <c r="P12" s="6">
        <v>0.6568891345148069</v>
      </c>
      <c r="Q12" s="7">
        <v>-2.2901101101359211</v>
      </c>
      <c r="R12" s="3">
        <f t="shared" si="3"/>
        <v>2.0329325704185583</v>
      </c>
      <c r="S12" s="3">
        <f t="shared" si="4"/>
        <v>2.7852341419466313</v>
      </c>
      <c r="T12" s="3">
        <f t="shared" si="4"/>
        <v>2.7411337982602992</v>
      </c>
      <c r="U12" s="13" t="str">
        <f t="shared" si="5"/>
        <v>A</v>
      </c>
      <c r="V12" s="11"/>
    </row>
    <row r="13" spans="1:37" x14ac:dyDescent="0.25">
      <c r="A13" t="s">
        <v>20</v>
      </c>
      <c r="B13">
        <f>AVERAGE(B2:B11)</f>
        <v>1840</v>
      </c>
      <c r="C13">
        <f t="shared" ref="C13" si="6">AVERAGE(C2:C11)</f>
        <v>48000</v>
      </c>
      <c r="O13" s="5" t="s">
        <v>28</v>
      </c>
      <c r="P13" s="6">
        <v>1.7894566078161982</v>
      </c>
      <c r="Q13" s="7">
        <v>0.25445667890399126</v>
      </c>
      <c r="R13" s="3">
        <f t="shared" si="3"/>
        <v>3.001184657076891</v>
      </c>
      <c r="S13" s="3">
        <f t="shared" si="4"/>
        <v>0</v>
      </c>
      <c r="T13" s="3">
        <f t="shared" si="4"/>
        <v>5.5253832772075135</v>
      </c>
      <c r="U13" s="13" t="str">
        <f t="shared" si="5"/>
        <v>B</v>
      </c>
      <c r="V13" s="11"/>
      <c r="AI13" s="1" t="s">
        <v>10</v>
      </c>
    </row>
    <row r="14" spans="1:37" x14ac:dyDescent="0.25">
      <c r="A14" t="s">
        <v>21</v>
      </c>
      <c r="B14">
        <f>_xlfn.STDEV.P(B2:B11)</f>
        <v>1765.8992043715293</v>
      </c>
      <c r="C14">
        <f t="shared" ref="C14" si="7">_xlfn.STDEV.P(C2:C11)</f>
        <v>23579.652245103192</v>
      </c>
      <c r="O14" s="5" t="s">
        <v>29</v>
      </c>
      <c r="P14" s="6">
        <v>-0.47567833878658433</v>
      </c>
      <c r="Q14" s="7">
        <v>5.3435902569838163</v>
      </c>
      <c r="R14" s="3">
        <f t="shared" si="3"/>
        <v>6.377527683384324</v>
      </c>
      <c r="S14" s="3">
        <f t="shared" si="4"/>
        <v>5.5704682838932627</v>
      </c>
      <c r="T14" s="3">
        <f t="shared" si="4"/>
        <v>10.178897258199145</v>
      </c>
      <c r="U14" s="13" t="str">
        <f t="shared" si="5"/>
        <v>B</v>
      </c>
      <c r="V14" s="11"/>
      <c r="X14" s="4" t="s">
        <v>38</v>
      </c>
      <c r="Y14" s="4" t="s">
        <v>17</v>
      </c>
      <c r="Z14" s="4" t="s">
        <v>18</v>
      </c>
      <c r="AA14" s="4" t="s">
        <v>39</v>
      </c>
      <c r="AI14" t="s">
        <v>80</v>
      </c>
    </row>
    <row r="15" spans="1:37" x14ac:dyDescent="0.25">
      <c r="O15" s="5" t="s">
        <v>30</v>
      </c>
      <c r="P15" s="6">
        <v>-0.41904996512151477</v>
      </c>
      <c r="Q15" s="7">
        <v>4.0713068624638602</v>
      </c>
      <c r="R15" s="3">
        <f t="shared" si="3"/>
        <v>5.1145898334626576</v>
      </c>
      <c r="S15" s="3">
        <f t="shared" si="4"/>
        <v>4.4097445058019051</v>
      </c>
      <c r="T15" s="3">
        <f t="shared" si="4"/>
        <v>8.9061637945466661</v>
      </c>
      <c r="U15" s="13" t="str">
        <f t="shared" si="5"/>
        <v>B</v>
      </c>
      <c r="V15" s="11"/>
      <c r="X15" s="5" t="s">
        <v>23</v>
      </c>
      <c r="Y15" s="6" cm="1">
        <f t="array" ref="Y15:Y24">_xlfn.ANCHORARRAY(P8)</f>
        <v>-0.87207695444207123</v>
      </c>
      <c r="Z15" s="6" cm="1">
        <f t="array" ref="Z15:Z24">_xlfn.ANCHORARRAY(Q8)</f>
        <v>0.25445667890399126</v>
      </c>
      <c r="AA15" s="6" t="str" cm="1">
        <f t="array" ref="AA15:AA24">TRANSPOSE(_xlfn.ANCHORARRAY(Y10))</f>
        <v>A</v>
      </c>
      <c r="AI15" t="s">
        <v>49</v>
      </c>
    </row>
    <row r="16" spans="1:37" x14ac:dyDescent="0.25">
      <c r="O16" s="5" t="s">
        <v>31</v>
      </c>
      <c r="P16" s="6">
        <v>-0.19253647046123651</v>
      </c>
      <c r="Q16" s="7">
        <v>-3.5623935046558781</v>
      </c>
      <c r="R16" s="3">
        <f t="shared" si="3"/>
        <v>2.6489176527126261</v>
      </c>
      <c r="S16" s="3">
        <f t="shared" si="4"/>
        <v>4.3007722429908641</v>
      </c>
      <c r="T16" s="3">
        <f t="shared" si="4"/>
        <v>1.2835754712157672</v>
      </c>
      <c r="U16" s="13" t="str">
        <f t="shared" si="5"/>
        <v>C</v>
      </c>
      <c r="X16" s="5" t="s">
        <v>24</v>
      </c>
      <c r="Y16" s="6">
        <v>-0.92870532810714079</v>
      </c>
      <c r="Z16" s="6">
        <v>-1.017826715615965</v>
      </c>
      <c r="AA16" s="6" t="str">
        <v>A</v>
      </c>
      <c r="AI16" t="s">
        <v>80</v>
      </c>
    </row>
    <row r="17" spans="15:46" x14ac:dyDescent="0.25">
      <c r="O17" s="5" t="s">
        <v>32</v>
      </c>
      <c r="P17" s="6">
        <v>-0.3624215914564452</v>
      </c>
      <c r="Q17" s="7">
        <v>-4.8346768991758342</v>
      </c>
      <c r="R17" s="3">
        <f t="shared" si="3"/>
        <v>3.8586296264523861</v>
      </c>
      <c r="S17" s="3">
        <f t="shared" si="4"/>
        <v>5.5253832772075135</v>
      </c>
      <c r="T17" s="3">
        <f t="shared" si="4"/>
        <v>0</v>
      </c>
      <c r="U17" s="13" t="str">
        <f t="shared" si="5"/>
        <v>C</v>
      </c>
      <c r="X17" s="5" t="s">
        <v>25</v>
      </c>
      <c r="Y17" s="6">
        <v>-0.98533370177221036</v>
      </c>
      <c r="Z17" s="6">
        <v>1.5267400734239476</v>
      </c>
      <c r="AA17" s="6" t="str">
        <v>A</v>
      </c>
      <c r="AI17" t="s">
        <v>50</v>
      </c>
    </row>
    <row r="18" spans="15:46" x14ac:dyDescent="0.25">
      <c r="X18" s="5" t="s">
        <v>26</v>
      </c>
      <c r="Y18" s="6">
        <v>1.7894566078161982</v>
      </c>
      <c r="Z18" s="6">
        <v>0.25445667890399126</v>
      </c>
      <c r="AA18" s="6" t="str">
        <v>A</v>
      </c>
      <c r="AI18" t="s">
        <v>51</v>
      </c>
    </row>
    <row r="19" spans="15:46" x14ac:dyDescent="0.25">
      <c r="X19" s="5" t="s">
        <v>27</v>
      </c>
      <c r="Y19" s="7">
        <v>0.6568891345148069</v>
      </c>
      <c r="Z19" s="7">
        <v>-2.2901101101359211</v>
      </c>
      <c r="AA19" s="7" t="str">
        <v>C</v>
      </c>
      <c r="AI19" t="s">
        <v>52</v>
      </c>
    </row>
    <row r="20" spans="15:46" x14ac:dyDescent="0.25">
      <c r="X20" s="5" t="s">
        <v>28</v>
      </c>
      <c r="Y20" s="7">
        <v>1.7894566078161982</v>
      </c>
      <c r="Z20" s="7">
        <v>0.25445667890399126</v>
      </c>
      <c r="AA20" s="7" t="str">
        <v>A</v>
      </c>
      <c r="AI20" t="s">
        <v>53</v>
      </c>
    </row>
    <row r="21" spans="15:46" x14ac:dyDescent="0.25">
      <c r="X21" s="5" t="s">
        <v>29</v>
      </c>
      <c r="Y21" s="7">
        <v>-0.47567833878658433</v>
      </c>
      <c r="Z21" s="7">
        <v>5.3435902569838163</v>
      </c>
      <c r="AA21" s="7" t="str">
        <v>B</v>
      </c>
      <c r="AI21" t="s">
        <v>81</v>
      </c>
    </row>
    <row r="22" spans="15:46" x14ac:dyDescent="0.25">
      <c r="Q22" s="15" t="s">
        <v>22</v>
      </c>
      <c r="R22" s="15" t="str">
        <f>"("&amp;TEXT(R23,"0.000")&amp;","&amp;TEXT(R24,"0.000")&amp;")"</f>
        <v>(-0.532,-0.382)</v>
      </c>
      <c r="S22" s="15" t="str">
        <f t="shared" ref="S22:T22" si="8">"("&amp;TEXT(S23,"0.000")&amp;","&amp;TEXT(S24,"0.000")&amp;")"</f>
        <v>(0.671,2.481)</v>
      </c>
      <c r="T22" s="15" t="str">
        <f t="shared" si="8"/>
        <v>(-0.277,-4.199)</v>
      </c>
      <c r="X22" s="5" t="s">
        <v>30</v>
      </c>
      <c r="Y22" s="7">
        <v>-0.41904996512151477</v>
      </c>
      <c r="Z22" s="7">
        <v>4.0713068624638602</v>
      </c>
      <c r="AA22" s="7" t="str">
        <v>B</v>
      </c>
      <c r="AI22" t="s">
        <v>55</v>
      </c>
    </row>
    <row r="23" spans="15:46" x14ac:dyDescent="0.25">
      <c r="Q23" s="15" t="s">
        <v>33</v>
      </c>
      <c r="R23" s="3">
        <f>AVERAGEIF($U8:$U17,R25,$P8:$P17)</f>
        <v>-0.53230671245165384</v>
      </c>
      <c r="S23" s="3">
        <f t="shared" ref="S23:T23" si="9">AVERAGEIF($U8:$U17,S25,$P8:$P17)</f>
        <v>0.67104622793107427</v>
      </c>
      <c r="T23" s="3">
        <f t="shared" si="9"/>
        <v>-0.27747903095884086</v>
      </c>
      <c r="X23" s="5" t="s">
        <v>31</v>
      </c>
      <c r="Y23" s="7">
        <v>-0.19253647046123651</v>
      </c>
      <c r="Z23" s="7">
        <v>-3.5623935046558781</v>
      </c>
      <c r="AA23" s="7" t="str">
        <v>C</v>
      </c>
      <c r="AI23" t="s">
        <v>56</v>
      </c>
    </row>
    <row r="24" spans="15:46" x14ac:dyDescent="0.25">
      <c r="Q24" s="15" t="s">
        <v>34</v>
      </c>
      <c r="R24" s="6">
        <f>AVERAGEIF($U8:$U17,R25,$Q8:$Q17)</f>
        <v>-0.38168501835598684</v>
      </c>
      <c r="S24" s="6">
        <f t="shared" ref="S24:T24" si="10">AVERAGEIF($U8:$U17,S25,$Q8:$Q17)</f>
        <v>2.4809526193139146</v>
      </c>
      <c r="T24" s="6">
        <f t="shared" si="10"/>
        <v>-4.1985352019158562</v>
      </c>
      <c r="X24" s="5" t="s">
        <v>32</v>
      </c>
      <c r="Y24" s="7">
        <v>-0.3624215914564452</v>
      </c>
      <c r="Z24" s="7">
        <v>-4.8346768991758342</v>
      </c>
      <c r="AA24" s="7" t="str">
        <v>C</v>
      </c>
      <c r="AI24" t="s">
        <v>82</v>
      </c>
    </row>
    <row r="25" spans="15:46" x14ac:dyDescent="0.25">
      <c r="O25" s="4" t="s">
        <v>35</v>
      </c>
      <c r="P25" s="4" t="s">
        <v>17</v>
      </c>
      <c r="Q25" s="4" t="s">
        <v>18</v>
      </c>
      <c r="R25" s="4" t="s">
        <v>4</v>
      </c>
      <c r="S25" s="4" t="s">
        <v>5</v>
      </c>
      <c r="T25" s="4" t="s">
        <v>6</v>
      </c>
      <c r="U25" s="4" t="s">
        <v>13</v>
      </c>
    </row>
    <row r="26" spans="15:46" x14ac:dyDescent="0.25">
      <c r="O26" s="5" t="s">
        <v>23</v>
      </c>
      <c r="P26" s="6">
        <f>P8</f>
        <v>-0.87207695444207123</v>
      </c>
      <c r="Q26" s="6">
        <f t="shared" ref="Q26:Q35" si="11">Q8</f>
        <v>0.25445667890399126</v>
      </c>
      <c r="R26" s="3">
        <f>SQRT(($P26-R$23)^2+($Q26-R$24)^2)</f>
        <v>0.721193508245209</v>
      </c>
      <c r="S26" s="3">
        <f t="shared" ref="S26:T35" si="12">SQRT(($P26-S$23)^2+($Q26-S$24)^2)</f>
        <v>2.7089690527282317</v>
      </c>
      <c r="T26" s="3">
        <f t="shared" si="12"/>
        <v>4.4925141492551868</v>
      </c>
      <c r="U26" s="13" t="str">
        <f t="shared" ref="U26:U35" si="13">INDEX($R$7:$T$7,MATCH(MIN(R26:T26),R26:T26,0))</f>
        <v>A</v>
      </c>
      <c r="AI26" t="s">
        <v>58</v>
      </c>
      <c r="AO26" s="2" t="s">
        <v>78</v>
      </c>
      <c r="AQ26" s="2" t="s">
        <v>79</v>
      </c>
      <c r="AS26" s="2" t="s">
        <v>11</v>
      </c>
    </row>
    <row r="27" spans="15:46" x14ac:dyDescent="0.25">
      <c r="O27" s="5" t="s">
        <v>24</v>
      </c>
      <c r="P27" s="6">
        <f t="shared" ref="P27:P35" si="14">P9</f>
        <v>-0.92870532810714079</v>
      </c>
      <c r="Q27" s="6">
        <f t="shared" si="11"/>
        <v>-1.017826715615965</v>
      </c>
      <c r="R27" s="3">
        <f t="shared" ref="R27:R35" si="15">SQRT(($P27-R$23)^2+($Q27-R$24)^2)</f>
        <v>0.74953860573448272</v>
      </c>
      <c r="S27" s="3">
        <f t="shared" si="12"/>
        <v>3.8471628345547142</v>
      </c>
      <c r="T27" s="3">
        <f t="shared" si="12"/>
        <v>3.2466909561764008</v>
      </c>
      <c r="U27" s="13" t="str">
        <f t="shared" si="13"/>
        <v>A</v>
      </c>
      <c r="W27" s="1" t="s">
        <v>40</v>
      </c>
      <c r="X27" s="12" t="s">
        <v>46</v>
      </c>
      <c r="Y27" s="12" t="s">
        <v>47</v>
      </c>
      <c r="AA27" s="1" t="s">
        <v>41</v>
      </c>
      <c r="AB27" s="12" t="s">
        <v>46</v>
      </c>
      <c r="AC27" s="12" t="s">
        <v>47</v>
      </c>
      <c r="AE27" s="1" t="s">
        <v>42</v>
      </c>
      <c r="AF27" s="12" t="s">
        <v>46</v>
      </c>
      <c r="AG27" s="12" t="s">
        <v>47</v>
      </c>
      <c r="AI27" t="s">
        <v>83</v>
      </c>
      <c r="AL27" s="19" t="str" cm="1">
        <f t="array" ref="AL27:AL29">TRANSPOSE(_xlfn.ANCHORARRAY(AI6))</f>
        <v>(-0.929,-1.018)</v>
      </c>
      <c r="AO27" s="21" cm="1">
        <f t="array" ref="AO27">VALUE(INDEX(_xlfn.TEXTSPLIT(TRIM(SUBSTITUTE(SUBSTITUTE(_xlfn.TEXTAFTER(AI27, ":"), "[", ""), "]", "")), " "), 1))</f>
        <v>-0.92870533</v>
      </c>
      <c r="AP27" s="21" cm="1">
        <f t="array" ref="AP27">VALUE(INDEX(_xlfn.TEXTSPLIT(TRIM(SUBSTITUTE(SUBSTITUTE(_xlfn.TEXTAFTER(AI27, ":"), "[", ""), "]", "")), " "), 2))</f>
        <v>-1.01782672</v>
      </c>
      <c r="AQ27" s="20">
        <f>VALUE(_xlfn.TEXTAFTER(_xlfn.TEXTBEFORE(AL27, ","), "("))</f>
        <v>-0.92900000000000005</v>
      </c>
      <c r="AR27" s="20">
        <f>VALUE(_xlfn.TEXTBEFORE(_xlfn.TEXTAFTER(AL27, ","), ")"))</f>
        <v>-1.018</v>
      </c>
      <c r="AS27" s="23">
        <f>IF(ABS(AO27-AQ27)&lt;0.001,0)</f>
        <v>0</v>
      </c>
      <c r="AT27" s="23">
        <f>IF(ABS(AP27-AR27)&lt;0.001,0)</f>
        <v>0</v>
      </c>
    </row>
    <row r="28" spans="15:46" x14ac:dyDescent="0.25">
      <c r="O28" s="5" t="s">
        <v>25</v>
      </c>
      <c r="P28" s="6">
        <f t="shared" si="14"/>
        <v>-0.98533370177221036</v>
      </c>
      <c r="Q28" s="6">
        <f t="shared" si="11"/>
        <v>1.5267400734239476</v>
      </c>
      <c r="R28" s="3">
        <f t="shared" si="15"/>
        <v>1.9614585858457727</v>
      </c>
      <c r="S28" s="3">
        <f t="shared" si="12"/>
        <v>1.9115742345662829</v>
      </c>
      <c r="T28" s="3">
        <f t="shared" si="12"/>
        <v>5.7688677583568841</v>
      </c>
      <c r="U28" s="13" t="str">
        <f t="shared" si="13"/>
        <v>B</v>
      </c>
      <c r="W28" s="1" t="s">
        <v>44</v>
      </c>
      <c r="X28" s="16" cm="1">
        <f t="array" ref="X28:Y28">TRANSPOSE(R77:R78)</f>
        <v>0.15855944626219481</v>
      </c>
      <c r="Y28" s="16">
        <v>0.25445667890399126</v>
      </c>
      <c r="AA28" s="1" t="s">
        <v>44</v>
      </c>
      <c r="AB28" s="16" cm="1">
        <f t="array" ref="AB28:AC28">TRANSPOSE(S77:S78)</f>
        <v>-0.44736415195404955</v>
      </c>
      <c r="AC28" s="16">
        <v>4.7074485597238382</v>
      </c>
      <c r="AD28" s="10"/>
      <c r="AE28" s="1" t="s">
        <v>44</v>
      </c>
      <c r="AF28" s="16" cm="1">
        <f t="array" ref="AF28:AG28">TRANSPOSE(T77:T78)</f>
        <v>3.3977024199041729E-2</v>
      </c>
      <c r="AG28" s="16">
        <v>-3.5623935046558777</v>
      </c>
      <c r="AI28" t="s">
        <v>84</v>
      </c>
      <c r="AL28" s="19" t="str">
        <v>(1.789,0.254)</v>
      </c>
      <c r="AO28" s="21" cm="1">
        <f t="array" ref="AO28">VALUE(INDEX(_xlfn.TEXTSPLIT(TRIM(SUBSTITUTE(SUBSTITUTE(_xlfn.TEXTAFTER(AI28, ":"), "[", ""), "]", "")), " "), 1))</f>
        <v>1.78945661</v>
      </c>
      <c r="AP28" s="21" cm="1">
        <f t="array" ref="AP28">VALUE(INDEX(_xlfn.TEXTSPLIT(TRIM(SUBSTITUTE(SUBSTITUTE(_xlfn.TEXTAFTER(AI28, ":"), "[", ""), "]", "")), " "), 2))</f>
        <v>0.25445667999999999</v>
      </c>
      <c r="AQ28" s="20">
        <f t="shared" ref="AQ28:AQ29" si="16">VALUE(_xlfn.TEXTAFTER(_xlfn.TEXTBEFORE(AL28, ","), "("))</f>
        <v>1.7889999999999999</v>
      </c>
      <c r="AR28" s="20">
        <f t="shared" ref="AR28:AR29" si="17">VALUE(_xlfn.TEXTBEFORE(_xlfn.TEXTAFTER(AL28, ","), ")"))</f>
        <v>0.254</v>
      </c>
      <c r="AS28" s="23">
        <f t="shared" ref="AS28:AT29" si="18">IF(ABS(AO28-AQ28)&lt;0.001,0)</f>
        <v>0</v>
      </c>
      <c r="AT28" s="23">
        <f t="shared" si="18"/>
        <v>0</v>
      </c>
    </row>
    <row r="29" spans="15:46" x14ac:dyDescent="0.25">
      <c r="O29" s="5" t="s">
        <v>26</v>
      </c>
      <c r="P29" s="6">
        <f t="shared" si="14"/>
        <v>1.7894566078161982</v>
      </c>
      <c r="Q29" s="6">
        <f t="shared" si="11"/>
        <v>0.25445667890399126</v>
      </c>
      <c r="R29" s="3">
        <f t="shared" si="15"/>
        <v>2.4073348695879444</v>
      </c>
      <c r="S29" s="3">
        <f t="shared" si="12"/>
        <v>2.4916111154224398</v>
      </c>
      <c r="T29" s="3">
        <f t="shared" si="12"/>
        <v>4.9093135594995214</v>
      </c>
      <c r="U29" s="13" t="str">
        <f t="shared" si="13"/>
        <v>A</v>
      </c>
      <c r="W29" t="str" cm="1">
        <f t="array" ref="W29:W33">_xlfn._xlws.FILTER(X15:X24,_xlfn.ANCHORARRAY( $AA15)="A")</f>
        <v>P0</v>
      </c>
      <c r="X29" s="11" cm="1">
        <f t="array" ref="X29:X33">_xlfn._xlws.FILTER(Y15:Y24,_xlfn.ANCHORARRAY( $AA15)="A")</f>
        <v>-0.87207695444207123</v>
      </c>
      <c r="Y29" s="11" cm="1">
        <f t="array" ref="Y29:Y33">_xlfn._xlws.FILTER(Z15:Z24,_xlfn.ANCHORARRAY( $AA15)="A")</f>
        <v>0.25445667890399126</v>
      </c>
      <c r="Z29" s="10"/>
      <c r="AA29" t="str" cm="1">
        <f t="array" ref="AA29:AA30">_xlfn._xlws.FILTER(X15:X24,_xlfn.ANCHORARRAY( $AA15)="B")</f>
        <v>P6</v>
      </c>
      <c r="AB29" s="11" cm="1">
        <f t="array" ref="AB29:AB30">_xlfn._xlws.FILTER(Y15:Y24,_xlfn.ANCHORARRAY( $AA15)="B")</f>
        <v>-0.47567833878658433</v>
      </c>
      <c r="AC29" s="11" cm="1">
        <f t="array" ref="AC29:AC30">_xlfn._xlws.FILTER(Z15:Z24,_xlfn.ANCHORARRAY( $AA15)="B")</f>
        <v>5.3435902569838163</v>
      </c>
      <c r="AE29" t="str" cm="1">
        <f t="array" ref="AE29:AE31">_xlfn._xlws.FILTER(X15:X24,_xlfn.ANCHORARRAY( $AA15)="C")</f>
        <v>P4</v>
      </c>
      <c r="AF29" s="11" cm="1">
        <f t="array" ref="AF29:AF31">_xlfn._xlws.FILTER(Y15:Y24,_xlfn.ANCHORARRAY( $AA15)="C")</f>
        <v>0.6568891345148069</v>
      </c>
      <c r="AG29" s="11" cm="1">
        <f t="array" ref="AG29:AG31">_xlfn._xlws.FILTER(Z15:Z24,_xlfn.ANCHORARRAY( $AA15)="C")</f>
        <v>-2.2901101101359211</v>
      </c>
      <c r="AI29" t="s">
        <v>85</v>
      </c>
      <c r="AL29" s="19" t="str">
        <v>(-0.362,-4.835)</v>
      </c>
      <c r="AO29" s="21" cm="1">
        <f t="array" ref="AO29">VALUE(INDEX(_xlfn.TEXTSPLIT(TRIM(SUBSTITUTE(SUBSTITUTE(_xlfn.TEXTAFTER(AI29, ":"), "[", ""), "]", "")), " "), 1))</f>
        <v>-0.36242159000000002</v>
      </c>
      <c r="AP29" s="21" cm="1">
        <f t="array" ref="AP29">VALUE(INDEX(_xlfn.TEXTSPLIT(TRIM(SUBSTITUTE(SUBSTITUTE(_xlfn.TEXTAFTER(AI29, ":"), "[", ""), "]", "")), " "), 2))</f>
        <v>-4.8346768999999998</v>
      </c>
      <c r="AQ29" s="20">
        <f t="shared" si="16"/>
        <v>-0.36199999999999999</v>
      </c>
      <c r="AR29" s="20">
        <f t="shared" si="17"/>
        <v>-4.835</v>
      </c>
      <c r="AS29" s="23">
        <f t="shared" si="18"/>
        <v>0</v>
      </c>
      <c r="AT29" s="23">
        <f t="shared" si="18"/>
        <v>0</v>
      </c>
    </row>
    <row r="30" spans="15:46" x14ac:dyDescent="0.25">
      <c r="O30" s="5" t="s">
        <v>27</v>
      </c>
      <c r="P30" s="6">
        <f t="shared" si="14"/>
        <v>0.6568891345148069</v>
      </c>
      <c r="Q30" s="6">
        <f t="shared" si="11"/>
        <v>-2.2901101101359211</v>
      </c>
      <c r="R30" s="3">
        <f t="shared" si="15"/>
        <v>2.2486158172034476</v>
      </c>
      <c r="S30" s="3">
        <f t="shared" si="12"/>
        <v>4.7710837334550433</v>
      </c>
      <c r="T30" s="3">
        <f t="shared" si="12"/>
        <v>2.1248835731836797</v>
      </c>
      <c r="U30" s="13" t="str">
        <f t="shared" si="13"/>
        <v>C</v>
      </c>
      <c r="W30" t="str">
        <v>P1</v>
      </c>
      <c r="X30" s="11">
        <v>-0.92870532810714079</v>
      </c>
      <c r="Y30" s="11">
        <v>-1.017826715615965</v>
      </c>
      <c r="Z30" s="10"/>
      <c r="AA30" t="str">
        <v>P7</v>
      </c>
      <c r="AB30" s="11">
        <v>-0.41904996512151477</v>
      </c>
      <c r="AC30" s="11">
        <v>4.0713068624638602</v>
      </c>
      <c r="AE30" t="str">
        <v>P8</v>
      </c>
      <c r="AF30" s="11">
        <v>-0.19253647046123651</v>
      </c>
      <c r="AG30" s="11">
        <v>-3.5623935046558781</v>
      </c>
      <c r="AO30" s="21"/>
      <c r="AP30" s="21"/>
      <c r="AQ30" s="20"/>
      <c r="AR30" s="20"/>
      <c r="AS30" s="22"/>
      <c r="AT30" s="22"/>
    </row>
    <row r="31" spans="15:46" x14ac:dyDescent="0.25">
      <c r="O31" s="5" t="s">
        <v>28</v>
      </c>
      <c r="P31" s="6">
        <f t="shared" si="14"/>
        <v>1.7894566078161982</v>
      </c>
      <c r="Q31" s="6">
        <f t="shared" si="11"/>
        <v>0.25445667890399126</v>
      </c>
      <c r="R31" s="3">
        <f t="shared" si="15"/>
        <v>2.4073348695879444</v>
      </c>
      <c r="S31" s="3">
        <f t="shared" si="12"/>
        <v>2.4916111154224398</v>
      </c>
      <c r="T31" s="3">
        <f t="shared" si="12"/>
        <v>4.9093135594995214</v>
      </c>
      <c r="U31" s="13" t="str">
        <f t="shared" si="13"/>
        <v>A</v>
      </c>
      <c r="W31" t="str">
        <v>P2</v>
      </c>
      <c r="X31" s="11">
        <v>-0.98533370177221036</v>
      </c>
      <c r="Y31" s="11">
        <v>1.5267400734239476</v>
      </c>
      <c r="Z31" s="10"/>
      <c r="AB31" s="11"/>
      <c r="AC31" s="11"/>
      <c r="AE31" t="str">
        <v>P9</v>
      </c>
      <c r="AF31" s="11">
        <v>-0.3624215914564452</v>
      </c>
      <c r="AG31" s="11">
        <v>-4.8346768991758342</v>
      </c>
      <c r="AI31" t="s">
        <v>62</v>
      </c>
      <c r="AO31" s="21"/>
      <c r="AP31" s="21"/>
      <c r="AQ31" s="20"/>
      <c r="AR31" s="20"/>
      <c r="AS31" s="22"/>
      <c r="AT31" s="22"/>
    </row>
    <row r="32" spans="15:46" x14ac:dyDescent="0.25">
      <c r="O32" s="5" t="s">
        <v>29</v>
      </c>
      <c r="P32" s="6">
        <f t="shared" si="14"/>
        <v>-0.47567833878658433</v>
      </c>
      <c r="Q32" s="6">
        <f t="shared" si="11"/>
        <v>5.3435902569838163</v>
      </c>
      <c r="R32" s="3">
        <f t="shared" si="15"/>
        <v>5.7255553225098792</v>
      </c>
      <c r="S32" s="3">
        <f t="shared" si="12"/>
        <v>3.0837755230428363</v>
      </c>
      <c r="T32" s="3">
        <f t="shared" si="12"/>
        <v>9.544183633973347</v>
      </c>
      <c r="U32" s="13" t="str">
        <f t="shared" si="13"/>
        <v>B</v>
      </c>
      <c r="W32" t="str">
        <v>P3</v>
      </c>
      <c r="X32" s="11">
        <v>1.7894566078161982</v>
      </c>
      <c r="Y32" s="11">
        <v>0.25445667890399126</v>
      </c>
      <c r="Z32" s="10"/>
      <c r="AB32" s="11"/>
      <c r="AC32" s="11"/>
      <c r="AF32" s="11"/>
      <c r="AG32" s="11"/>
      <c r="AI32" t="s">
        <v>86</v>
      </c>
      <c r="AO32" s="21"/>
      <c r="AP32" s="21"/>
      <c r="AQ32" s="20"/>
      <c r="AR32" s="20"/>
      <c r="AS32" s="22"/>
      <c r="AT32" s="22"/>
    </row>
    <row r="33" spans="15:46" x14ac:dyDescent="0.25">
      <c r="O33" s="5" t="s">
        <v>30</v>
      </c>
      <c r="P33" s="6">
        <f t="shared" si="14"/>
        <v>-0.41904996512151477</v>
      </c>
      <c r="Q33" s="6">
        <f t="shared" si="11"/>
        <v>4.0713068624638602</v>
      </c>
      <c r="R33" s="3">
        <f t="shared" si="15"/>
        <v>4.4544319257861922</v>
      </c>
      <c r="S33" s="3">
        <f t="shared" si="12"/>
        <v>1.928091369415045</v>
      </c>
      <c r="T33" s="3">
        <f t="shared" si="12"/>
        <v>8.2710537478113295</v>
      </c>
      <c r="U33" s="13" t="str">
        <f t="shared" si="13"/>
        <v>B</v>
      </c>
      <c r="W33" t="str">
        <v>P5</v>
      </c>
      <c r="X33" s="11">
        <v>1.7894566078161982</v>
      </c>
      <c r="Y33" s="11">
        <v>0.25445667890399126</v>
      </c>
      <c r="Z33" s="10"/>
      <c r="AB33" s="11"/>
      <c r="AC33" s="11"/>
      <c r="AF33" s="11"/>
      <c r="AG33" s="11"/>
      <c r="AI33" t="s">
        <v>64</v>
      </c>
      <c r="AO33" s="21"/>
      <c r="AP33" s="21"/>
      <c r="AQ33" s="20"/>
      <c r="AR33" s="20"/>
      <c r="AS33" s="22"/>
      <c r="AT33" s="22"/>
    </row>
    <row r="34" spans="15:46" x14ac:dyDescent="0.25">
      <c r="O34" s="5" t="s">
        <v>31</v>
      </c>
      <c r="P34" s="6">
        <f t="shared" si="14"/>
        <v>-0.19253647046123651</v>
      </c>
      <c r="Q34" s="6">
        <f t="shared" si="11"/>
        <v>-3.5623935046558781</v>
      </c>
      <c r="R34" s="3">
        <f t="shared" si="15"/>
        <v>3.1988045098383822</v>
      </c>
      <c r="S34" s="3">
        <f t="shared" si="12"/>
        <v>6.1047364767910546</v>
      </c>
      <c r="T34" s="3">
        <f t="shared" si="12"/>
        <v>0.6417877356078836</v>
      </c>
      <c r="U34" s="13" t="str">
        <f t="shared" si="13"/>
        <v>C</v>
      </c>
      <c r="AI34" t="s">
        <v>87</v>
      </c>
      <c r="AL34" s="19" t="str" cm="1">
        <f t="array" ref="AL34:AL36">TRANSPOSE(_xlfn.ANCHORARRAY(AI7))</f>
        <v>(-0.532,-0.382)</v>
      </c>
      <c r="AO34" s="21" cm="1">
        <f t="array" ref="AO34">VALUE(INDEX(_xlfn.TEXTSPLIT(TRIM(SUBSTITUTE(SUBSTITUTE(_xlfn.TEXTAFTER(AI34, ":"), "[", ""), "]", "")), " "), 1))</f>
        <v>-0.53230670999999996</v>
      </c>
      <c r="AP34" s="21" cm="1">
        <f t="array" ref="AP34">VALUE(INDEX(_xlfn.TEXTSPLIT(TRIM(SUBSTITUTE(SUBSTITUTE(_xlfn.TEXTAFTER(AI34, ":"), "[", ""), "]", "")), " "), 2))</f>
        <v>-0.38168501999999999</v>
      </c>
      <c r="AQ34" s="20">
        <f>VALUE(_xlfn.TEXTAFTER(_xlfn.TEXTBEFORE(AL34, ","), "("))</f>
        <v>-0.53200000000000003</v>
      </c>
      <c r="AR34" s="20">
        <f>VALUE(_xlfn.TEXTBEFORE(_xlfn.TEXTAFTER(AL34, ","), ")"))</f>
        <v>-0.38200000000000001</v>
      </c>
      <c r="AS34" s="23">
        <f t="shared" ref="AS34:AT36" si="19">IF(ABS(AO34-AQ34)&lt;0.001,0)</f>
        <v>0</v>
      </c>
      <c r="AT34" s="23">
        <f t="shared" si="19"/>
        <v>0</v>
      </c>
    </row>
    <row r="35" spans="15:46" x14ac:dyDescent="0.25">
      <c r="O35" s="5" t="s">
        <v>32</v>
      </c>
      <c r="P35" s="6">
        <f t="shared" si="14"/>
        <v>-0.3624215914564452</v>
      </c>
      <c r="Q35" s="6">
        <f t="shared" si="11"/>
        <v>-4.8346768991758342</v>
      </c>
      <c r="R35" s="3">
        <f t="shared" si="15"/>
        <v>4.4562313275887098</v>
      </c>
      <c r="S35" s="3">
        <f t="shared" si="12"/>
        <v>7.3882671165509537</v>
      </c>
      <c r="T35" s="3">
        <f t="shared" si="12"/>
        <v>0.6417877356078836</v>
      </c>
      <c r="U35" s="13" t="str">
        <f t="shared" si="13"/>
        <v>C</v>
      </c>
      <c r="W35" s="1" t="s">
        <v>45</v>
      </c>
      <c r="X35" s="12" t="str" cm="1">
        <f t="array" ref="X35">INDEX(_xlfn._xlws.FILTER($X$15:$X$24,_xlfn.ANCHORARRAY( $AA15)="A"), _xlfn.XMATCH(MIN(SQRT((_xlfn._xlws.FILTER($Y$15:$Y$24,_xlfn.ANCHORARRAY( $AA15)="A")-X28)^2+(_xlfn._xlws.FILTER($Z$15:$Z$24,_xlfn.ANCHORARRAY( $AA15)="A")-Y28)^2)), SQRT((_xlfn._xlws.FILTER($Y$15:$Y$24,_xlfn.ANCHORARRAY( $AA15)="A")-X28)^2+(_xlfn._xlws.FILTER($Z$15:$Z$24,_xlfn.ANCHORARRAY( $AA15)="A")-Y28)^2),0))</f>
        <v>P0</v>
      </c>
      <c r="AA35" s="1" t="s">
        <v>45</v>
      </c>
      <c r="AB35" s="12" t="str" cm="1">
        <f t="array" ref="AB35">INDEX(_xlfn._xlws.FILTER($X$15:$X$24,_xlfn.ANCHORARRAY( $AA15)="B"), _xlfn.XMATCH(MIN(SQRT((_xlfn._xlws.FILTER($Y$15:$Y$24,_xlfn.ANCHORARRAY( $AA15)="B")-AB28)^2+(_xlfn._xlws.FILTER($Z$15:$Z$24,_xlfn.ANCHORARRAY( $AA15)="B")-AC28)^2)), SQRT((_xlfn._xlws.FILTER($Y$15:$Y$24,_xlfn.ANCHORARRAY( $AA15)="B")-AB28)^2+(_xlfn._xlws.FILTER($Z$15:$Z$24,_xlfn.ANCHORARRAY( $AA15)="B")-AC28)^2),0))</f>
        <v>P6</v>
      </c>
      <c r="AE35" s="1" t="s">
        <v>45</v>
      </c>
      <c r="AF35" s="12" t="str" cm="1">
        <f t="array" ref="AF35">INDEX(_xlfn._xlws.FILTER($X$15:$X$24,_xlfn.ANCHORARRAY( $AA15)="C"), _xlfn.XMATCH(MIN(SQRT((_xlfn._xlws.FILTER($Y$15:$Y$24,_xlfn.ANCHORARRAY( $AA15)="C")-AF28)^2+(_xlfn._xlws.FILTER($Z$15:$Z$24,_xlfn.ANCHORARRAY( $AA15)="C")-AG28)^2)), SQRT((_xlfn._xlws.FILTER($Y$15:$Y$24,_xlfn.ANCHORARRAY( $AA15)="C")-AF28)^2+(_xlfn._xlws.FILTER($Z$15:$Z$24,_xlfn.ANCHORARRAY( $AA15)="C")-AG28)^2),0))</f>
        <v>P8</v>
      </c>
      <c r="AI35" t="s">
        <v>88</v>
      </c>
      <c r="AL35" s="19" t="str">
        <v>(0.671,2.481)</v>
      </c>
      <c r="AO35" s="21" cm="1">
        <f t="array" ref="AO35">VALUE(INDEX(_xlfn.TEXTSPLIT(TRIM(SUBSTITUTE(SUBSTITUTE(_xlfn.TEXTAFTER(AI35, ":"), "[", ""), "]", "")), " "), 1))</f>
        <v>0.67104622999999997</v>
      </c>
      <c r="AP35" s="21" cm="1">
        <f t="array" ref="AP35">VALUE(INDEX(_xlfn.TEXTSPLIT(TRIM(SUBSTITUTE(SUBSTITUTE(_xlfn.TEXTAFTER(AI35, ":"), "[", ""), "]", "")), " "), 2))</f>
        <v>2.4809526200000001</v>
      </c>
      <c r="AQ35" s="20">
        <f t="shared" ref="AQ35:AQ36" si="20">VALUE(_xlfn.TEXTAFTER(_xlfn.TEXTBEFORE(AL35, ","), "("))</f>
        <v>0.67100000000000004</v>
      </c>
      <c r="AR35" s="20">
        <f t="shared" ref="AR35:AR36" si="21">VALUE(_xlfn.TEXTBEFORE(_xlfn.TEXTAFTER(AL35, ","), ")"))</f>
        <v>2.4809999999999999</v>
      </c>
      <c r="AS35" s="23">
        <f t="shared" si="19"/>
        <v>0</v>
      </c>
      <c r="AT35" s="23">
        <f t="shared" si="19"/>
        <v>0</v>
      </c>
    </row>
    <row r="36" spans="15:46" x14ac:dyDescent="0.25">
      <c r="X36" s="11">
        <f t="array" ref="X36">VLOOKUP(X35,$X$15:$Z$24,2,0)</f>
        <v>-0.87207695444207123</v>
      </c>
      <c r="Y36" s="11">
        <f>VLOOKUP(X35,$X$15:$Z$24,3,0)</f>
        <v>0.25445667890399126</v>
      </c>
      <c r="AB36" s="11">
        <f>VLOOKUP(AB35,$X$15:$Z$24,2,0)</f>
        <v>-0.47567833878658433</v>
      </c>
      <c r="AC36" s="11">
        <f>VLOOKUP(AB35,$X$15:$Z$24,3,0)</f>
        <v>5.3435902569838163</v>
      </c>
      <c r="AF36" s="11">
        <f>VLOOKUP(AF35,$X$15:$Z$24,2,0)</f>
        <v>-0.19253647046123651</v>
      </c>
      <c r="AG36" s="11">
        <f>VLOOKUP(AF35,$X$15:$Z$24,3,0)</f>
        <v>-3.5623935046558781</v>
      </c>
      <c r="AI36" t="s">
        <v>89</v>
      </c>
      <c r="AL36" s="19" t="str">
        <v>(-0.277,-4.199)</v>
      </c>
      <c r="AO36" s="21" cm="1">
        <f t="array" ref="AO36">VALUE(INDEX(_xlfn.TEXTSPLIT(TRIM(SUBSTITUTE(SUBSTITUTE(_xlfn.TEXTAFTER(AI36, ":"), "[", ""), "]", "")), " "), 1))</f>
        <v>-0.27747903000000002</v>
      </c>
      <c r="AP36" s="21" cm="1">
        <f t="array" ref="AP36">VALUE(INDEX(_xlfn.TEXTSPLIT(TRIM(SUBSTITUTE(SUBSTITUTE(_xlfn.TEXTAFTER(AI36, ":"), "[", ""), "]", "")), " "), 2))</f>
        <v>-4.1985352000000002</v>
      </c>
      <c r="AQ36" s="20">
        <f t="shared" si="20"/>
        <v>-0.27700000000000002</v>
      </c>
      <c r="AR36" s="20">
        <f t="shared" si="21"/>
        <v>-4.1989999999999998</v>
      </c>
      <c r="AS36" s="23">
        <f t="shared" si="19"/>
        <v>0</v>
      </c>
      <c r="AT36" s="23">
        <f t="shared" si="19"/>
        <v>0</v>
      </c>
    </row>
    <row r="37" spans="15:46" x14ac:dyDescent="0.25">
      <c r="AO37" s="21"/>
      <c r="AP37" s="21"/>
      <c r="AQ37" s="20"/>
      <c r="AR37" s="20"/>
      <c r="AS37" s="22"/>
      <c r="AT37" s="22"/>
    </row>
    <row r="38" spans="15:46" x14ac:dyDescent="0.25">
      <c r="W38" s="1"/>
      <c r="AI38" t="s">
        <v>67</v>
      </c>
      <c r="AO38" s="21"/>
      <c r="AP38" s="21"/>
      <c r="AQ38" s="20"/>
      <c r="AR38" s="20"/>
      <c r="AS38" s="22"/>
      <c r="AT38" s="22"/>
    </row>
    <row r="39" spans="15:46" x14ac:dyDescent="0.25">
      <c r="AI39" t="s">
        <v>90</v>
      </c>
      <c r="AO39" s="21"/>
      <c r="AP39" s="21"/>
      <c r="AQ39" s="20"/>
      <c r="AR39" s="20"/>
      <c r="AS39" s="22"/>
      <c r="AT39" s="22"/>
    </row>
    <row r="40" spans="15:46" x14ac:dyDescent="0.25">
      <c r="Q40" s="15" t="s">
        <v>22</v>
      </c>
      <c r="R40" s="15" t="str">
        <f>"("&amp;TEXT(R41,"0.000")&amp;","&amp;TEXT(R42,"0.000")&amp;")"</f>
        <v>(0.445,-0.064)</v>
      </c>
      <c r="S40" s="15" t="str">
        <f t="shared" ref="S40:T40" si="22">"("&amp;TEXT(S41,"0.000")&amp;","&amp;TEXT(S42,"0.000")&amp;")"</f>
        <v>(-0.627,3.647)</v>
      </c>
      <c r="T40" s="15" t="str">
        <f t="shared" si="22"/>
        <v>(0.034,-3.562)</v>
      </c>
      <c r="AI40" t="s">
        <v>64</v>
      </c>
      <c r="AO40" s="21"/>
      <c r="AP40" s="21"/>
      <c r="AQ40" s="20"/>
      <c r="AR40" s="20"/>
      <c r="AS40" s="22"/>
      <c r="AT40" s="22"/>
    </row>
    <row r="41" spans="15:46" x14ac:dyDescent="0.25">
      <c r="Q41" s="15" t="s">
        <v>33</v>
      </c>
      <c r="R41" s="3">
        <f>AVERAGEIF($U26:$U35,R43,$P26:$P35)</f>
        <v>0.44453273327079612</v>
      </c>
      <c r="S41" s="3">
        <f t="shared" ref="S41:T41" si="23">AVERAGEIF($U26:$U35,S43,$P26:$P35)</f>
        <v>-0.62668733522676978</v>
      </c>
      <c r="T41" s="3">
        <f t="shared" si="23"/>
        <v>3.3977024199041729E-2</v>
      </c>
      <c r="AI41" t="s">
        <v>91</v>
      </c>
      <c r="AL41" s="19" t="str" cm="1">
        <f t="array" ref="AL41:AL43">TRANSPOSE(_xlfn.ANCHORARRAY(AI8))</f>
        <v>(0.445,-0.064)</v>
      </c>
      <c r="AO41" s="21" cm="1">
        <f t="array" ref="AO41">VALUE(INDEX(_xlfn.TEXTSPLIT(TRIM(SUBSTITUTE(SUBSTITUTE(_xlfn.TEXTAFTER(AI41, ":"), "[", ""), "]", "")), " "), 1))</f>
        <v>0.44453272999999999</v>
      </c>
      <c r="AP41" s="21" cm="1">
        <f t="array" ref="AP41">VALUE(INDEX(_xlfn.TEXTSPLIT(TRIM(SUBSTITUTE(SUBSTITUTE(_xlfn.TEXTAFTER(AI41, ":"), "[", ""), "]", "")), " "), 2))</f>
        <v>-6.3614169999999998E-2</v>
      </c>
      <c r="AQ41" s="20">
        <f>VALUE(_xlfn.TEXTAFTER(_xlfn.TEXTBEFORE(AL41, ","), "("))</f>
        <v>0.44500000000000001</v>
      </c>
      <c r="AR41" s="20">
        <f>VALUE(_xlfn.TEXTBEFORE(_xlfn.TEXTAFTER(AL41, ","), ")"))</f>
        <v>-6.4000000000000001E-2</v>
      </c>
      <c r="AS41" s="23">
        <f t="shared" ref="AS41:AT43" si="24">IF(ABS(AO41-AQ41)&lt;0.001,0)</f>
        <v>0</v>
      </c>
      <c r="AT41" s="23">
        <f t="shared" si="24"/>
        <v>0</v>
      </c>
    </row>
    <row r="42" spans="15:46" x14ac:dyDescent="0.25">
      <c r="Q42" s="15" t="s">
        <v>34</v>
      </c>
      <c r="R42" s="6">
        <f>AVERAGEIF($U26:$U35,R43,$Q26:$Q35)</f>
        <v>-6.3614169725997816E-2</v>
      </c>
      <c r="S42" s="6">
        <f t="shared" ref="S42:T42" si="25">AVERAGEIF($U26:$U35,S43,$Q26:$Q35)</f>
        <v>3.6472123976238748</v>
      </c>
      <c r="T42" s="6">
        <f t="shared" si="25"/>
        <v>-3.5623935046558777</v>
      </c>
      <c r="AI42" t="s">
        <v>92</v>
      </c>
      <c r="AL42" s="19" t="str">
        <v>(-0.627,3.647)</v>
      </c>
      <c r="AO42" s="21" cm="1">
        <f t="array" ref="AO42">VALUE(INDEX(_xlfn.TEXTSPLIT(TRIM(SUBSTITUTE(SUBSTITUTE(_xlfn.TEXTAFTER(AI42, ":"), "[", ""), "]", "")), " "), 1))</f>
        <v>-0.62668734000000004</v>
      </c>
      <c r="AP42" s="21" cm="1">
        <f t="array" ref="AP42">VALUE(INDEX(_xlfn.TEXTSPLIT(TRIM(SUBSTITUTE(SUBSTITUTE(_xlfn.TEXTAFTER(AI42, ":"), "[", ""), "]", "")), " "), 2))</f>
        <v>3.6472123999999999</v>
      </c>
      <c r="AQ42" s="20">
        <f t="shared" ref="AQ42:AQ43" si="26">VALUE(_xlfn.TEXTAFTER(_xlfn.TEXTBEFORE(AL42, ","), "("))</f>
        <v>-0.627</v>
      </c>
      <c r="AR42" s="20">
        <f t="shared" ref="AR42:AR43" si="27">VALUE(_xlfn.TEXTBEFORE(_xlfn.TEXTAFTER(AL42, ","), ")"))</f>
        <v>3.6469999999999998</v>
      </c>
      <c r="AS42" s="23">
        <f t="shared" si="24"/>
        <v>0</v>
      </c>
      <c r="AT42" s="23">
        <f t="shared" si="24"/>
        <v>0</v>
      </c>
    </row>
    <row r="43" spans="15:46" x14ac:dyDescent="0.25">
      <c r="O43" s="4" t="s">
        <v>36</v>
      </c>
      <c r="P43" s="4" t="s">
        <v>17</v>
      </c>
      <c r="Q43" s="4" t="s">
        <v>18</v>
      </c>
      <c r="R43" s="4" t="s">
        <v>4</v>
      </c>
      <c r="S43" s="4" t="s">
        <v>5</v>
      </c>
      <c r="T43" s="4" t="s">
        <v>6</v>
      </c>
      <c r="U43" s="4" t="s">
        <v>13</v>
      </c>
      <c r="AI43" t="s">
        <v>93</v>
      </c>
      <c r="AL43" s="19" t="str">
        <v>(0.034,-3.562)</v>
      </c>
      <c r="AO43" s="21" cm="1">
        <f t="array" ref="AO43">VALUE(INDEX(_xlfn.TEXTSPLIT(TRIM(SUBSTITUTE(SUBSTITUTE(_xlfn.TEXTAFTER(AI43, ":"), "[", ""), "]", "")), " "), 1))</f>
        <v>3.3977019999999997E-2</v>
      </c>
      <c r="AP43" s="21" cm="1">
        <f t="array" ref="AP43">VALUE(INDEX(_xlfn.TEXTSPLIT(TRIM(SUBSTITUTE(SUBSTITUTE(_xlfn.TEXTAFTER(AI43, ":"), "[", ""), "]", "")), " "), 2))</f>
        <v>-3.5623935000000002</v>
      </c>
      <c r="AQ43" s="20">
        <f t="shared" si="26"/>
        <v>3.4000000000000002E-2</v>
      </c>
      <c r="AR43" s="20">
        <f t="shared" si="27"/>
        <v>-3.5619999999999998</v>
      </c>
      <c r="AS43" s="23">
        <f t="shared" si="24"/>
        <v>0</v>
      </c>
      <c r="AT43" s="23">
        <f t="shared" si="24"/>
        <v>0</v>
      </c>
    </row>
    <row r="44" spans="15:46" x14ac:dyDescent="0.25">
      <c r="O44" s="5" t="s">
        <v>23</v>
      </c>
      <c r="P44" s="6">
        <f>P26</f>
        <v>-0.87207695444207123</v>
      </c>
      <c r="Q44" s="6">
        <f t="shared" ref="Q44:Q53" si="28">Q26</f>
        <v>0.25445667890399126</v>
      </c>
      <c r="R44" s="3">
        <f>SQRT(($P44-R$41)^2+($Q44-R$42)^2)</f>
        <v>1.3544851916974121</v>
      </c>
      <c r="S44" s="3">
        <f t="shared" ref="S44:T53" si="29">SQRT(($P44-S$41)^2+($Q44-S$42)^2)</f>
        <v>3.401618354860684</v>
      </c>
      <c r="T44" s="3">
        <f t="shared" si="29"/>
        <v>3.9229171716915459</v>
      </c>
      <c r="U44" s="13" t="str">
        <f t="shared" ref="U44:U53" si="30">INDEX($R$7:$T$7,MATCH(MIN(R44:T44),R44:T44,0))</f>
        <v>A</v>
      </c>
      <c r="AO44" s="21"/>
      <c r="AP44" s="21"/>
      <c r="AQ44" s="20"/>
      <c r="AR44" s="20"/>
      <c r="AS44" s="22"/>
      <c r="AT44" s="22"/>
    </row>
    <row r="45" spans="15:46" x14ac:dyDescent="0.25">
      <c r="O45" s="5" t="s">
        <v>24</v>
      </c>
      <c r="P45" s="6">
        <f t="shared" ref="P45:P53" si="31">P27</f>
        <v>-0.92870532810714079</v>
      </c>
      <c r="Q45" s="6">
        <f t="shared" si="28"/>
        <v>-1.017826715615965</v>
      </c>
      <c r="R45" s="3">
        <f t="shared" ref="R45:R53" si="32">SQRT(($P45-R$41)^2+($Q45-R$42)^2)</f>
        <v>1.6722154035742069</v>
      </c>
      <c r="S45" s="3">
        <f t="shared" si="29"/>
        <v>4.6748053217306325</v>
      </c>
      <c r="T45" s="3">
        <f t="shared" si="29"/>
        <v>2.7205840283524889</v>
      </c>
      <c r="U45" s="13" t="str">
        <f t="shared" si="30"/>
        <v>A</v>
      </c>
      <c r="AI45" t="s">
        <v>72</v>
      </c>
      <c r="AO45" s="21"/>
      <c r="AP45" s="21"/>
      <c r="AQ45" s="20"/>
      <c r="AR45" s="20"/>
      <c r="AS45" s="22"/>
      <c r="AT45" s="22"/>
    </row>
    <row r="46" spans="15:46" x14ac:dyDescent="0.25">
      <c r="O46" s="5" t="s">
        <v>25</v>
      </c>
      <c r="P46" s="6">
        <f t="shared" si="31"/>
        <v>-0.98533370177221036</v>
      </c>
      <c r="Q46" s="6">
        <f t="shared" si="28"/>
        <v>1.5267400734239476</v>
      </c>
      <c r="R46" s="3">
        <f t="shared" si="32"/>
        <v>2.1386314878369372</v>
      </c>
      <c r="S46" s="3">
        <f t="shared" si="29"/>
        <v>2.1505883134468315</v>
      </c>
      <c r="T46" s="3">
        <f t="shared" si="29"/>
        <v>5.1902095267551198</v>
      </c>
      <c r="U46" s="13" t="str">
        <f t="shared" si="30"/>
        <v>A</v>
      </c>
      <c r="AI46" t="s">
        <v>94</v>
      </c>
      <c r="AO46" s="21"/>
      <c r="AP46" s="21"/>
      <c r="AQ46" s="20"/>
      <c r="AR46" s="20"/>
      <c r="AS46" s="22"/>
      <c r="AT46" s="22"/>
    </row>
    <row r="47" spans="15:46" x14ac:dyDescent="0.25">
      <c r="O47" s="5" t="s">
        <v>26</v>
      </c>
      <c r="P47" s="6">
        <f t="shared" si="31"/>
        <v>1.7894566078161982</v>
      </c>
      <c r="Q47" s="6">
        <f t="shared" si="28"/>
        <v>0.25445667890399126</v>
      </c>
      <c r="R47" s="3">
        <f t="shared" si="32"/>
        <v>1.3820236224719236</v>
      </c>
      <c r="S47" s="3">
        <f t="shared" si="29"/>
        <v>4.1651582107297793</v>
      </c>
      <c r="T47" s="3">
        <f t="shared" si="29"/>
        <v>4.2011967214399366</v>
      </c>
      <c r="U47" s="13" t="str">
        <f t="shared" si="30"/>
        <v>A</v>
      </c>
      <c r="AI47" t="s">
        <v>64</v>
      </c>
      <c r="AO47" s="21"/>
      <c r="AP47" s="21"/>
      <c r="AQ47" s="20"/>
      <c r="AR47" s="20"/>
      <c r="AS47" s="22"/>
      <c r="AT47" s="22"/>
    </row>
    <row r="48" spans="15:46" x14ac:dyDescent="0.25">
      <c r="O48" s="5" t="s">
        <v>27</v>
      </c>
      <c r="P48" s="6">
        <f t="shared" si="31"/>
        <v>0.6568891345148069</v>
      </c>
      <c r="Q48" s="6">
        <f t="shared" si="28"/>
        <v>-2.2901101101359211</v>
      </c>
      <c r="R48" s="3">
        <f t="shared" si="32"/>
        <v>2.2365999673189605</v>
      </c>
      <c r="S48" s="3">
        <f t="shared" si="29"/>
        <v>6.0744849258867468</v>
      </c>
      <c r="T48" s="3">
        <f t="shared" si="29"/>
        <v>1.41658904878912</v>
      </c>
      <c r="U48" s="13" t="str">
        <f t="shared" si="30"/>
        <v>C</v>
      </c>
      <c r="AI48" t="s">
        <v>95</v>
      </c>
      <c r="AL48" s="19" t="str" cm="1">
        <f t="array" ref="AL48:AL50">TRANSPOSE(_xlfn.ANCHORARRAY(AI9))</f>
        <v>(0.159,0.254)</v>
      </c>
      <c r="AO48" s="21" cm="1">
        <f t="array" ref="AO48">VALUE(INDEX(_xlfn.TEXTSPLIT(TRIM(SUBSTITUTE(SUBSTITUTE(_xlfn.TEXTAFTER(AI48, ":"), "[", ""), "]", "")), " "), 1))</f>
        <v>0.15855944999999999</v>
      </c>
      <c r="AP48" s="21" cm="1">
        <f t="array" ref="AP48">VALUE(INDEX(_xlfn.TEXTSPLIT(TRIM(SUBSTITUTE(SUBSTITUTE(_xlfn.TEXTAFTER(AI48, ":"), "[", ""), "]", "")), " "), 2))</f>
        <v>0.25445667999999999</v>
      </c>
      <c r="AQ48" s="20">
        <f>VALUE(_xlfn.TEXTAFTER(_xlfn.TEXTBEFORE(AL48, ","), "("))</f>
        <v>0.159</v>
      </c>
      <c r="AR48" s="20">
        <f>VALUE(_xlfn.TEXTBEFORE(_xlfn.TEXTAFTER(AL48, ","), ")"))</f>
        <v>0.254</v>
      </c>
      <c r="AS48" s="23">
        <f t="shared" ref="AS48:AT50" si="33">IF(ABS(AO48-AQ48)&lt;0.001,0)</f>
        <v>0</v>
      </c>
      <c r="AT48" s="23">
        <f t="shared" si="33"/>
        <v>0</v>
      </c>
    </row>
    <row r="49" spans="15:46" x14ac:dyDescent="0.25">
      <c r="O49" s="5" t="s">
        <v>28</v>
      </c>
      <c r="P49" s="6">
        <f t="shared" si="31"/>
        <v>1.7894566078161982</v>
      </c>
      <c r="Q49" s="6">
        <f t="shared" si="28"/>
        <v>0.25445667890399126</v>
      </c>
      <c r="R49" s="3">
        <f t="shared" si="32"/>
        <v>1.3820236224719236</v>
      </c>
      <c r="S49" s="3">
        <f t="shared" si="29"/>
        <v>4.1651582107297793</v>
      </c>
      <c r="T49" s="3">
        <f t="shared" si="29"/>
        <v>4.2011967214399366</v>
      </c>
      <c r="U49" s="13" t="str">
        <f t="shared" si="30"/>
        <v>A</v>
      </c>
      <c r="AI49" t="s">
        <v>96</v>
      </c>
      <c r="AL49" s="19" t="str">
        <v>(-0.447,4.707)</v>
      </c>
      <c r="AO49" s="21" cm="1">
        <f t="array" ref="AO49">VALUE(INDEX(_xlfn.TEXTSPLIT(TRIM(SUBSTITUTE(SUBSTITUTE(_xlfn.TEXTAFTER(AI49, ":"), "[", ""), "]", "")), " "), 1))</f>
        <v>-0.44736415000000002</v>
      </c>
      <c r="AP49" s="21" cm="1">
        <f t="array" ref="AP49">VALUE(INDEX(_xlfn.TEXTSPLIT(TRIM(SUBSTITUTE(SUBSTITUTE(_xlfn.TEXTAFTER(AI49, ":"), "[", ""), "]", "")), " "), 2))</f>
        <v>4.7074485599999996</v>
      </c>
      <c r="AQ49" s="20">
        <f t="shared" ref="AQ49:AQ50" si="34">VALUE(_xlfn.TEXTAFTER(_xlfn.TEXTBEFORE(AL49, ","), "("))</f>
        <v>-0.44700000000000001</v>
      </c>
      <c r="AR49" s="20">
        <f t="shared" ref="AR49:AR50" si="35">VALUE(_xlfn.TEXTBEFORE(_xlfn.TEXTAFTER(AL49, ","), ")"))</f>
        <v>4.7069999999999999</v>
      </c>
      <c r="AS49" s="23">
        <f t="shared" si="33"/>
        <v>0</v>
      </c>
      <c r="AT49" s="23">
        <f t="shared" si="33"/>
        <v>0</v>
      </c>
    </row>
    <row r="50" spans="15:46" x14ac:dyDescent="0.25">
      <c r="O50" s="5" t="s">
        <v>29</v>
      </c>
      <c r="P50" s="6">
        <f t="shared" si="31"/>
        <v>-0.47567833878658433</v>
      </c>
      <c r="Q50" s="6">
        <f t="shared" si="28"/>
        <v>5.3435902569838163</v>
      </c>
      <c r="R50" s="3">
        <f t="shared" si="32"/>
        <v>5.4849474135462053</v>
      </c>
      <c r="S50" s="3">
        <f t="shared" si="29"/>
        <v>1.7030858929403676</v>
      </c>
      <c r="T50" s="3">
        <f t="shared" si="29"/>
        <v>8.9205546549309318</v>
      </c>
      <c r="U50" s="13" t="str">
        <f t="shared" si="30"/>
        <v>B</v>
      </c>
      <c r="AI50" t="s">
        <v>93</v>
      </c>
      <c r="AL50" s="19" t="str">
        <v>(0.034,-3.562)</v>
      </c>
      <c r="AO50" s="21" cm="1">
        <f t="array" ref="AO50">VALUE(INDEX(_xlfn.TEXTSPLIT(TRIM(SUBSTITUTE(SUBSTITUTE(_xlfn.TEXTAFTER(AI50, ":"), "[", ""), "]", "")), " "), 1))</f>
        <v>3.3977019999999997E-2</v>
      </c>
      <c r="AP50" s="21" cm="1">
        <f t="array" ref="AP50">VALUE(INDEX(_xlfn.TEXTSPLIT(TRIM(SUBSTITUTE(SUBSTITUTE(_xlfn.TEXTAFTER(AI50, ":"), "[", ""), "]", "")), " "), 2))</f>
        <v>-3.5623935000000002</v>
      </c>
      <c r="AQ50" s="20">
        <f t="shared" si="34"/>
        <v>3.4000000000000002E-2</v>
      </c>
      <c r="AR50" s="20">
        <f t="shared" si="35"/>
        <v>-3.5619999999999998</v>
      </c>
      <c r="AS50" s="23">
        <f t="shared" si="33"/>
        <v>0</v>
      </c>
      <c r="AT50" s="23">
        <f t="shared" si="33"/>
        <v>0</v>
      </c>
    </row>
    <row r="51" spans="15:46" x14ac:dyDescent="0.25">
      <c r="O51" s="5" t="s">
        <v>30</v>
      </c>
      <c r="P51" s="6">
        <f t="shared" si="31"/>
        <v>-0.41904996512151477</v>
      </c>
      <c r="Q51" s="6">
        <f t="shared" si="28"/>
        <v>4.0713068624638602</v>
      </c>
      <c r="R51" s="3">
        <f t="shared" si="32"/>
        <v>4.2241386127124887</v>
      </c>
      <c r="S51" s="3">
        <f t="shared" si="29"/>
        <v>0.47219634959637313</v>
      </c>
      <c r="T51" s="3">
        <f t="shared" si="29"/>
        <v>7.6471311449468988</v>
      </c>
      <c r="U51" s="13" t="str">
        <f t="shared" si="30"/>
        <v>B</v>
      </c>
    </row>
    <row r="52" spans="15:46" x14ac:dyDescent="0.25">
      <c r="O52" s="5" t="s">
        <v>31</v>
      </c>
      <c r="P52" s="6">
        <f t="shared" si="31"/>
        <v>-0.19253647046123651</v>
      </c>
      <c r="Q52" s="6">
        <f t="shared" si="28"/>
        <v>-3.5623935046558781</v>
      </c>
      <c r="R52" s="3">
        <f t="shared" si="32"/>
        <v>3.5563062304694939</v>
      </c>
      <c r="S52" s="3">
        <f t="shared" si="29"/>
        <v>7.2226660063693737</v>
      </c>
      <c r="T52" s="3">
        <f t="shared" si="29"/>
        <v>0.22651349466027823</v>
      </c>
      <c r="U52" s="13" t="str">
        <f t="shared" si="30"/>
        <v>C</v>
      </c>
      <c r="AI52" t="s">
        <v>97</v>
      </c>
    </row>
    <row r="53" spans="15:46" x14ac:dyDescent="0.25">
      <c r="O53" s="5" t="s">
        <v>32</v>
      </c>
      <c r="P53" s="6">
        <f t="shared" si="31"/>
        <v>-0.3624215914564452</v>
      </c>
      <c r="Q53" s="6">
        <f t="shared" si="28"/>
        <v>-4.8346768991758342</v>
      </c>
      <c r="R53" s="3">
        <f t="shared" si="32"/>
        <v>4.8388237052553711</v>
      </c>
      <c r="S53" s="3">
        <f t="shared" si="29"/>
        <v>8.4860050922973134</v>
      </c>
      <c r="T53" s="3">
        <f t="shared" si="29"/>
        <v>1.3326053048314079</v>
      </c>
      <c r="U53" s="13" t="str">
        <f t="shared" si="30"/>
        <v>C</v>
      </c>
      <c r="AI53" t="s">
        <v>94</v>
      </c>
    </row>
    <row r="54" spans="15:46" x14ac:dyDescent="0.25">
      <c r="AI54" t="s">
        <v>64</v>
      </c>
    </row>
    <row r="55" spans="15:46" x14ac:dyDescent="0.25">
      <c r="AI55" t="s">
        <v>95</v>
      </c>
    </row>
    <row r="56" spans="15:46" x14ac:dyDescent="0.25">
      <c r="AI56" t="s">
        <v>96</v>
      </c>
    </row>
    <row r="57" spans="15:46" x14ac:dyDescent="0.25">
      <c r="AI57" t="s">
        <v>93</v>
      </c>
    </row>
    <row r="58" spans="15:46" x14ac:dyDescent="0.25">
      <c r="Q58" s="15" t="s">
        <v>22</v>
      </c>
      <c r="R58" s="15" t="str">
        <f>"("&amp;TEXT(R59,"0.000")&amp;","&amp;TEXT(R60,"0.000")&amp;")"</f>
        <v>(0.159,0.254)</v>
      </c>
      <c r="S58" s="15" t="str">
        <f t="shared" ref="S58:T58" si="36">"("&amp;TEXT(S59,"0.000")&amp;","&amp;TEXT(S60,"0.000")&amp;")"</f>
        <v>(-0.447,4.707)</v>
      </c>
      <c r="T58" s="15" t="str">
        <f t="shared" si="36"/>
        <v>(0.034,-3.562)</v>
      </c>
    </row>
    <row r="59" spans="15:46" x14ac:dyDescent="0.25">
      <c r="Q59" s="15" t="s">
        <v>33</v>
      </c>
      <c r="R59" s="3">
        <f>AVERAGEIF($U44:$U53,R61,$P44:$P53)</f>
        <v>0.15855944626219481</v>
      </c>
      <c r="S59" s="3">
        <f t="shared" ref="S59:T59" si="37">AVERAGEIF($U44:$U53,S61,$P44:$P53)</f>
        <v>-0.44736415195404955</v>
      </c>
      <c r="T59" s="3">
        <f t="shared" si="37"/>
        <v>3.3977024199041729E-2</v>
      </c>
      <c r="AI59" t="s">
        <v>98</v>
      </c>
    </row>
    <row r="60" spans="15:46" x14ac:dyDescent="0.25">
      <c r="Q60" s="15" t="s">
        <v>34</v>
      </c>
      <c r="R60" s="6">
        <f>AVERAGEIF($U44:$U53,R61,$Q44:$Q53)</f>
        <v>0.25445667890399126</v>
      </c>
      <c r="S60" s="6">
        <f t="shared" ref="S60:T60" si="38">AVERAGEIF($U44:$U53,S61,$Q44:$Q53)</f>
        <v>4.7074485597238382</v>
      </c>
      <c r="T60" s="6">
        <f t="shared" si="38"/>
        <v>-3.5623935046558777</v>
      </c>
      <c r="AI60" t="s">
        <v>80</v>
      </c>
    </row>
    <row r="61" spans="15:46" x14ac:dyDescent="0.25">
      <c r="O61" s="4" t="s">
        <v>37</v>
      </c>
      <c r="P61" s="4" t="s">
        <v>17</v>
      </c>
      <c r="Q61" s="4" t="s">
        <v>18</v>
      </c>
      <c r="R61" s="4" t="s">
        <v>4</v>
      </c>
      <c r="S61" s="4" t="s">
        <v>5</v>
      </c>
      <c r="T61" s="4" t="s">
        <v>6</v>
      </c>
      <c r="U61" s="4" t="s">
        <v>13</v>
      </c>
      <c r="AI61" t="s">
        <v>9</v>
      </c>
    </row>
    <row r="62" spans="15:46" x14ac:dyDescent="0.25">
      <c r="O62" s="5" t="s">
        <v>23</v>
      </c>
      <c r="P62" s="6">
        <f>P44</f>
        <v>-0.87207695444207123</v>
      </c>
      <c r="Q62" s="6">
        <f t="shared" ref="Q62:Q71" si="39">Q44</f>
        <v>0.25445667890399126</v>
      </c>
      <c r="R62" s="3">
        <f>SQRT(($P62-R$59)^2+($Q62-R$60)^2)</f>
        <v>1.0306364007042661</v>
      </c>
      <c r="S62" s="3">
        <f t="shared" ref="S62:T71" si="40">SQRT(($P62-S$59)^2+($Q62-S$60)^2)</f>
        <v>4.4731999346379219</v>
      </c>
      <c r="T62" s="3">
        <f t="shared" si="40"/>
        <v>3.9229171716915459</v>
      </c>
      <c r="U62" s="13" t="str">
        <f t="shared" ref="U62:U71" si="41">INDEX($R$7:$T$7,MATCH(MIN(R62:T62),R62:T62,0))</f>
        <v>A</v>
      </c>
      <c r="AI62" t="s">
        <v>99</v>
      </c>
      <c r="AL62" s="20" t="str">
        <f>X35</f>
        <v>P0</v>
      </c>
      <c r="AP62" s="21" t="str" cm="1">
        <f t="array" ref="AP62">INDEX(_xlfn.TEXTSPLIT(TRIM(AI62)," "),3)</f>
        <v>0.0</v>
      </c>
      <c r="AR62" s="19" t="str">
        <f>RIGHT(AL62,1)</f>
        <v>0</v>
      </c>
      <c r="AT62" s="23">
        <f t="shared" ref="AT62:AT64" si="42">IF(ABS(AP62-AR62)&lt;0.001,0)</f>
        <v>0</v>
      </c>
    </row>
    <row r="63" spans="15:46" x14ac:dyDescent="0.25">
      <c r="O63" s="5" t="s">
        <v>24</v>
      </c>
      <c r="P63" s="6">
        <f t="shared" ref="P63:P71" si="43">P45</f>
        <v>-0.92870532810714079</v>
      </c>
      <c r="Q63" s="6">
        <f t="shared" si="39"/>
        <v>-1.017826715615965</v>
      </c>
      <c r="R63" s="3">
        <f t="shared" ref="R63:R71" si="44">SQRT(($P63-R$59)^2+($Q63-R$60)^2)</f>
        <v>1.6735739378813308</v>
      </c>
      <c r="S63" s="3">
        <f t="shared" si="40"/>
        <v>5.7454735493497582</v>
      </c>
      <c r="T63" s="3">
        <f t="shared" si="40"/>
        <v>2.7205840283524889</v>
      </c>
      <c r="U63" s="13" t="str">
        <f t="shared" si="41"/>
        <v>A</v>
      </c>
      <c r="AI63" t="s">
        <v>100</v>
      </c>
      <c r="AL63" s="19" t="str">
        <f>AB35</f>
        <v>P6</v>
      </c>
      <c r="AP63" s="21" t="str" cm="1">
        <f t="array" ref="AP63">INDEX(_xlfn.TEXTSPLIT(TRIM(AI63)," "),3)</f>
        <v>6.0</v>
      </c>
      <c r="AR63" s="19" t="str">
        <f t="shared" ref="AR63:AR64" si="45">RIGHT(AL63,1)</f>
        <v>6</v>
      </c>
      <c r="AT63" s="23">
        <f t="shared" si="42"/>
        <v>0</v>
      </c>
    </row>
    <row r="64" spans="15:46" x14ac:dyDescent="0.25">
      <c r="O64" s="5" t="s">
        <v>25</v>
      </c>
      <c r="P64" s="6">
        <f t="shared" si="43"/>
        <v>-0.98533370177221036</v>
      </c>
      <c r="Q64" s="6">
        <f t="shared" si="39"/>
        <v>1.5267400734239476</v>
      </c>
      <c r="R64" s="3">
        <f t="shared" si="44"/>
        <v>1.71090519026955</v>
      </c>
      <c r="S64" s="3">
        <f t="shared" si="40"/>
        <v>3.2258824701702475</v>
      </c>
      <c r="T64" s="3">
        <f t="shared" si="40"/>
        <v>5.1902095267551198</v>
      </c>
      <c r="U64" s="13" t="str">
        <f t="shared" si="41"/>
        <v>A</v>
      </c>
      <c r="AI64" t="s">
        <v>101</v>
      </c>
      <c r="AL64" s="19" t="str">
        <f>AF35</f>
        <v>P8</v>
      </c>
      <c r="AP64" s="21" t="str" cm="1">
        <f t="array" ref="AP64">INDEX(_xlfn.TEXTSPLIT(TRIM(AI64)," "),3)</f>
        <v>8.0</v>
      </c>
      <c r="AR64" s="19" t="str">
        <f t="shared" si="45"/>
        <v>8</v>
      </c>
      <c r="AT64" s="23">
        <f t="shared" si="42"/>
        <v>0</v>
      </c>
    </row>
    <row r="65" spans="15:21" x14ac:dyDescent="0.25">
      <c r="O65" s="5" t="s">
        <v>26</v>
      </c>
      <c r="P65" s="6">
        <f t="shared" si="43"/>
        <v>1.7894566078161982</v>
      </c>
      <c r="Q65" s="6">
        <f t="shared" si="39"/>
        <v>0.25445667890399126</v>
      </c>
      <c r="R65" s="3">
        <f t="shared" si="44"/>
        <v>1.6308971615540033</v>
      </c>
      <c r="S65" s="3">
        <f t="shared" si="40"/>
        <v>4.9832222308448806</v>
      </c>
      <c r="T65" s="3">
        <f t="shared" si="40"/>
        <v>4.2011967214399366</v>
      </c>
      <c r="U65" s="13" t="str">
        <f t="shared" si="41"/>
        <v>A</v>
      </c>
    </row>
    <row r="66" spans="15:21" x14ac:dyDescent="0.25">
      <c r="O66" s="5" t="s">
        <v>27</v>
      </c>
      <c r="P66" s="6">
        <f t="shared" si="43"/>
        <v>0.6568891345148069</v>
      </c>
      <c r="Q66" s="6">
        <f t="shared" si="39"/>
        <v>-2.2901101101359211</v>
      </c>
      <c r="R66" s="3">
        <f t="shared" si="44"/>
        <v>2.5929042832466522</v>
      </c>
      <c r="S66" s="3">
        <f t="shared" si="40"/>
        <v>7.0841515129764661</v>
      </c>
      <c r="T66" s="3">
        <f t="shared" si="40"/>
        <v>1.41658904878912</v>
      </c>
      <c r="U66" s="13" t="str">
        <f t="shared" si="41"/>
        <v>C</v>
      </c>
    </row>
    <row r="67" spans="15:21" x14ac:dyDescent="0.25">
      <c r="O67" s="5" t="s">
        <v>28</v>
      </c>
      <c r="P67" s="6">
        <f t="shared" si="43"/>
        <v>1.7894566078161982</v>
      </c>
      <c r="Q67" s="6">
        <f t="shared" si="39"/>
        <v>0.25445667890399126</v>
      </c>
      <c r="R67" s="3">
        <f t="shared" si="44"/>
        <v>1.6308971615540033</v>
      </c>
      <c r="S67" s="3">
        <f t="shared" si="40"/>
        <v>4.9832222308448806</v>
      </c>
      <c r="T67" s="3">
        <f t="shared" si="40"/>
        <v>4.2011967214399366</v>
      </c>
      <c r="U67" s="13" t="str">
        <f t="shared" si="41"/>
        <v>A</v>
      </c>
    </row>
    <row r="68" spans="15:21" x14ac:dyDescent="0.25">
      <c r="O68" s="5" t="s">
        <v>29</v>
      </c>
      <c r="P68" s="6">
        <f t="shared" si="43"/>
        <v>-0.47567833878658433</v>
      </c>
      <c r="Q68" s="6">
        <f t="shared" si="39"/>
        <v>5.3435902569838163</v>
      </c>
      <c r="R68" s="3">
        <f t="shared" si="44"/>
        <v>5.1285025244727285</v>
      </c>
      <c r="S68" s="3">
        <f t="shared" si="40"/>
        <v>0.63677150703277641</v>
      </c>
      <c r="T68" s="3">
        <f t="shared" si="40"/>
        <v>8.9205546549309318</v>
      </c>
      <c r="U68" s="13" t="str">
        <f t="shared" si="41"/>
        <v>B</v>
      </c>
    </row>
    <row r="69" spans="15:21" x14ac:dyDescent="0.25">
      <c r="O69" s="5" t="s">
        <v>30</v>
      </c>
      <c r="P69" s="6">
        <f t="shared" si="43"/>
        <v>-0.41904996512151477</v>
      </c>
      <c r="Q69" s="6">
        <f t="shared" si="39"/>
        <v>4.0713068624638602</v>
      </c>
      <c r="R69" s="3">
        <f t="shared" si="44"/>
        <v>3.8603080130813452</v>
      </c>
      <c r="S69" s="3">
        <f t="shared" si="40"/>
        <v>0.63677150703277641</v>
      </c>
      <c r="T69" s="3">
        <f t="shared" si="40"/>
        <v>7.6471311449468988</v>
      </c>
      <c r="U69" s="13" t="str">
        <f t="shared" si="41"/>
        <v>B</v>
      </c>
    </row>
    <row r="70" spans="15:21" x14ac:dyDescent="0.25">
      <c r="O70" s="5" t="s">
        <v>31</v>
      </c>
      <c r="P70" s="6">
        <f t="shared" si="43"/>
        <v>-0.19253647046123651</v>
      </c>
      <c r="Q70" s="6">
        <f t="shared" si="39"/>
        <v>-3.5623935046558781</v>
      </c>
      <c r="R70" s="3">
        <f t="shared" si="44"/>
        <v>3.8329640836408672</v>
      </c>
      <c r="S70" s="3">
        <f t="shared" si="40"/>
        <v>8.2737672747690443</v>
      </c>
      <c r="T70" s="3">
        <f t="shared" si="40"/>
        <v>0.22651349466027823</v>
      </c>
      <c r="U70" s="13" t="str">
        <f t="shared" si="41"/>
        <v>C</v>
      </c>
    </row>
    <row r="71" spans="15:21" x14ac:dyDescent="0.25">
      <c r="O71" s="5" t="s">
        <v>32</v>
      </c>
      <c r="P71" s="6">
        <f t="shared" si="43"/>
        <v>-0.3624215914564452</v>
      </c>
      <c r="Q71" s="6">
        <f t="shared" si="39"/>
        <v>-4.8346768991758342</v>
      </c>
      <c r="R71" s="3">
        <f t="shared" si="44"/>
        <v>5.1157308194628417</v>
      </c>
      <c r="S71" s="3">
        <f t="shared" si="40"/>
        <v>9.542503524336011</v>
      </c>
      <c r="T71" s="3">
        <f t="shared" si="40"/>
        <v>1.3326053048314079</v>
      </c>
      <c r="U71" s="13" t="str">
        <f t="shared" si="41"/>
        <v>C</v>
      </c>
    </row>
    <row r="76" spans="15:21" x14ac:dyDescent="0.25">
      <c r="Q76" s="15" t="s">
        <v>22</v>
      </c>
      <c r="R76" s="15" t="str">
        <f>"("&amp;TEXT(R77,"0.000")&amp;","&amp;TEXT(R78,"0.000")&amp;")"</f>
        <v>(0.159,0.254)</v>
      </c>
      <c r="S76" s="15" t="str">
        <f t="shared" ref="S76:T76" si="46">"("&amp;TEXT(S77,"0.000")&amp;","&amp;TEXT(S78,"0.000")&amp;")"</f>
        <v>(-0.447,4.707)</v>
      </c>
      <c r="T76" s="15" t="str">
        <f t="shared" si="46"/>
        <v>(0.034,-3.562)</v>
      </c>
    </row>
    <row r="77" spans="15:21" x14ac:dyDescent="0.25">
      <c r="Q77" s="15" t="s">
        <v>33</v>
      </c>
      <c r="R77" s="3">
        <f>AVERAGEIF($U62:$U71,R79,$P62:$P71)</f>
        <v>0.15855944626219481</v>
      </c>
      <c r="S77" s="3">
        <f t="shared" ref="S77:T77" si="47">AVERAGEIF($U62:$U71,S79,$P62:$P71)</f>
        <v>-0.44736415195404955</v>
      </c>
      <c r="T77" s="3">
        <f t="shared" si="47"/>
        <v>3.3977024199041729E-2</v>
      </c>
    </row>
    <row r="78" spans="15:21" x14ac:dyDescent="0.25">
      <c r="Q78" s="15" t="s">
        <v>34</v>
      </c>
      <c r="R78" s="6">
        <f>AVERAGEIF($U62:$U71,R79,$Q62:$Q71)</f>
        <v>0.25445667890399126</v>
      </c>
      <c r="S78" s="6">
        <f t="shared" ref="S78:T78" si="48">AVERAGEIF($U62:$U71,S79,$Q62:$Q71)</f>
        <v>4.7074485597238382</v>
      </c>
      <c r="T78" s="6">
        <f t="shared" si="48"/>
        <v>-3.5623935046558777</v>
      </c>
    </row>
    <row r="79" spans="15:21" x14ac:dyDescent="0.25">
      <c r="O79" s="4" t="s">
        <v>43</v>
      </c>
      <c r="P79" s="4" t="s">
        <v>17</v>
      </c>
      <c r="Q79" s="4" t="s">
        <v>18</v>
      </c>
      <c r="R79" s="4" t="s">
        <v>4</v>
      </c>
      <c r="S79" s="4" t="s">
        <v>5</v>
      </c>
      <c r="T79" s="4" t="s">
        <v>6</v>
      </c>
      <c r="U79" s="4" t="s">
        <v>13</v>
      </c>
    </row>
    <row r="80" spans="15:21" x14ac:dyDescent="0.25">
      <c r="O80" s="5" t="s">
        <v>23</v>
      </c>
      <c r="P80" s="6">
        <f>P62</f>
        <v>-0.87207695444207123</v>
      </c>
      <c r="Q80" s="6">
        <f t="shared" ref="Q80:Q89" si="49">Q62</f>
        <v>0.25445667890399126</v>
      </c>
      <c r="R80" s="3">
        <f>SQRT(($P80-R$77)^2+($Q80-R$78)^2)</f>
        <v>1.0306364007042661</v>
      </c>
      <c r="S80" s="3">
        <f t="shared" ref="S80:T89" si="50">SQRT(($P80-S$77)^2+($Q80-S$78)^2)</f>
        <v>4.4731999346379219</v>
      </c>
      <c r="T80" s="3">
        <f t="shared" si="50"/>
        <v>3.9229171716915459</v>
      </c>
      <c r="U80" s="13" t="str">
        <f t="shared" ref="U80:U89" si="51">INDEX($R$7:$T$7,MATCH(MIN(R80:T80),R80:T80,0))</f>
        <v>A</v>
      </c>
    </row>
    <row r="81" spans="15:21" x14ac:dyDescent="0.25">
      <c r="O81" s="5" t="s">
        <v>24</v>
      </c>
      <c r="P81" s="6">
        <f t="shared" ref="P81:P89" si="52">P63</f>
        <v>-0.92870532810714079</v>
      </c>
      <c r="Q81" s="6">
        <f t="shared" si="49"/>
        <v>-1.017826715615965</v>
      </c>
      <c r="R81" s="3">
        <f t="shared" ref="R81:R89" si="53">SQRT(($P81-R$77)^2+($Q81-R$78)^2)</f>
        <v>1.6735739378813308</v>
      </c>
      <c r="S81" s="3">
        <f t="shared" si="50"/>
        <v>5.7454735493497582</v>
      </c>
      <c r="T81" s="3">
        <f t="shared" si="50"/>
        <v>2.7205840283524889</v>
      </c>
      <c r="U81" s="13" t="str">
        <f t="shared" si="51"/>
        <v>A</v>
      </c>
    </row>
    <row r="82" spans="15:21" x14ac:dyDescent="0.25">
      <c r="O82" s="5" t="s">
        <v>25</v>
      </c>
      <c r="P82" s="6">
        <f t="shared" si="52"/>
        <v>-0.98533370177221036</v>
      </c>
      <c r="Q82" s="6">
        <f t="shared" si="49"/>
        <v>1.5267400734239476</v>
      </c>
      <c r="R82" s="3">
        <f t="shared" si="53"/>
        <v>1.71090519026955</v>
      </c>
      <c r="S82" s="3">
        <f t="shared" si="50"/>
        <v>3.2258824701702475</v>
      </c>
      <c r="T82" s="3">
        <f t="shared" si="50"/>
        <v>5.1902095267551198</v>
      </c>
      <c r="U82" s="13" t="str">
        <f t="shared" si="51"/>
        <v>A</v>
      </c>
    </row>
    <row r="83" spans="15:21" x14ac:dyDescent="0.25">
      <c r="O83" s="5" t="s">
        <v>26</v>
      </c>
      <c r="P83" s="6">
        <f t="shared" si="52"/>
        <v>1.7894566078161982</v>
      </c>
      <c r="Q83" s="6">
        <f t="shared" si="49"/>
        <v>0.25445667890399126</v>
      </c>
      <c r="R83" s="3">
        <f t="shared" si="53"/>
        <v>1.6308971615540033</v>
      </c>
      <c r="S83" s="3">
        <f t="shared" si="50"/>
        <v>4.9832222308448806</v>
      </c>
      <c r="T83" s="3">
        <f t="shared" si="50"/>
        <v>4.2011967214399366</v>
      </c>
      <c r="U83" s="13" t="str">
        <f t="shared" si="51"/>
        <v>A</v>
      </c>
    </row>
    <row r="84" spans="15:21" x14ac:dyDescent="0.25">
      <c r="O84" s="5" t="s">
        <v>27</v>
      </c>
      <c r="P84" s="6">
        <f t="shared" si="52"/>
        <v>0.6568891345148069</v>
      </c>
      <c r="Q84" s="6">
        <f t="shared" si="49"/>
        <v>-2.2901101101359211</v>
      </c>
      <c r="R84" s="3">
        <f t="shared" si="53"/>
        <v>2.5929042832466522</v>
      </c>
      <c r="S84" s="3">
        <f t="shared" si="50"/>
        <v>7.0841515129764661</v>
      </c>
      <c r="T84" s="3">
        <f t="shared" si="50"/>
        <v>1.41658904878912</v>
      </c>
      <c r="U84" s="13" t="str">
        <f t="shared" si="51"/>
        <v>C</v>
      </c>
    </row>
    <row r="85" spans="15:21" x14ac:dyDescent="0.25">
      <c r="O85" s="5" t="s">
        <v>28</v>
      </c>
      <c r="P85" s="6">
        <f t="shared" si="52"/>
        <v>1.7894566078161982</v>
      </c>
      <c r="Q85" s="6">
        <f t="shared" si="49"/>
        <v>0.25445667890399126</v>
      </c>
      <c r="R85" s="3">
        <f t="shared" si="53"/>
        <v>1.6308971615540033</v>
      </c>
      <c r="S85" s="3">
        <f t="shared" si="50"/>
        <v>4.9832222308448806</v>
      </c>
      <c r="T85" s="3">
        <f t="shared" si="50"/>
        <v>4.2011967214399366</v>
      </c>
      <c r="U85" s="13" t="str">
        <f t="shared" si="51"/>
        <v>A</v>
      </c>
    </row>
    <row r="86" spans="15:21" x14ac:dyDescent="0.25">
      <c r="O86" s="5" t="s">
        <v>29</v>
      </c>
      <c r="P86" s="6">
        <f t="shared" si="52"/>
        <v>-0.47567833878658433</v>
      </c>
      <c r="Q86" s="6">
        <f t="shared" si="49"/>
        <v>5.3435902569838163</v>
      </c>
      <c r="R86" s="3">
        <f t="shared" si="53"/>
        <v>5.1285025244727285</v>
      </c>
      <c r="S86" s="3">
        <f t="shared" si="50"/>
        <v>0.63677150703277641</v>
      </c>
      <c r="T86" s="3">
        <f t="shared" si="50"/>
        <v>8.9205546549309318</v>
      </c>
      <c r="U86" s="13" t="str">
        <f t="shared" si="51"/>
        <v>B</v>
      </c>
    </row>
    <row r="87" spans="15:21" x14ac:dyDescent="0.25">
      <c r="O87" s="5" t="s">
        <v>30</v>
      </c>
      <c r="P87" s="6">
        <f t="shared" si="52"/>
        <v>-0.41904996512151477</v>
      </c>
      <c r="Q87" s="6">
        <f t="shared" si="49"/>
        <v>4.0713068624638602</v>
      </c>
      <c r="R87" s="3">
        <f t="shared" si="53"/>
        <v>3.8603080130813452</v>
      </c>
      <c r="S87" s="3">
        <f t="shared" si="50"/>
        <v>0.63677150703277641</v>
      </c>
      <c r="T87" s="3">
        <f t="shared" si="50"/>
        <v>7.6471311449468988</v>
      </c>
      <c r="U87" s="13" t="str">
        <f t="shared" si="51"/>
        <v>B</v>
      </c>
    </row>
    <row r="88" spans="15:21" x14ac:dyDescent="0.25">
      <c r="O88" s="5" t="s">
        <v>31</v>
      </c>
      <c r="P88" s="6">
        <f t="shared" si="52"/>
        <v>-0.19253647046123651</v>
      </c>
      <c r="Q88" s="6">
        <f t="shared" si="49"/>
        <v>-3.5623935046558781</v>
      </c>
      <c r="R88" s="3">
        <f t="shared" si="53"/>
        <v>3.8329640836408672</v>
      </c>
      <c r="S88" s="3">
        <f t="shared" si="50"/>
        <v>8.2737672747690443</v>
      </c>
      <c r="T88" s="3">
        <f t="shared" si="50"/>
        <v>0.22651349466027823</v>
      </c>
      <c r="U88" s="13" t="str">
        <f t="shared" si="51"/>
        <v>C</v>
      </c>
    </row>
    <row r="89" spans="15:21" x14ac:dyDescent="0.25">
      <c r="O89" s="5" t="s">
        <v>32</v>
      </c>
      <c r="P89" s="6">
        <f t="shared" si="52"/>
        <v>-0.3624215914564452</v>
      </c>
      <c r="Q89" s="6">
        <f t="shared" si="49"/>
        <v>-4.8346768991758342</v>
      </c>
      <c r="R89" s="3">
        <f t="shared" si="53"/>
        <v>5.1157308194628417</v>
      </c>
      <c r="S89" s="3">
        <f t="shared" si="50"/>
        <v>9.542503524336011</v>
      </c>
      <c r="T89" s="3">
        <f t="shared" si="50"/>
        <v>1.3326053048314079</v>
      </c>
      <c r="U89" s="13" t="str">
        <f t="shared" si="51"/>
        <v>C</v>
      </c>
    </row>
  </sheetData>
  <mergeCells count="3">
    <mergeCell ref="X4:X5"/>
    <mergeCell ref="Y4:AE4"/>
    <mergeCell ref="AI4:A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data_sample</vt:lpstr>
      <vt:lpstr>check 1 (regular)</vt:lpstr>
      <vt:lpstr>check 2 (weight)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Prasetya</dc:creator>
  <cp:lastModifiedBy>Pietono, Victor</cp:lastModifiedBy>
  <dcterms:created xsi:type="dcterms:W3CDTF">2015-06-05T18:17:20Z</dcterms:created>
  <dcterms:modified xsi:type="dcterms:W3CDTF">2025-11-24T01:01:18Z</dcterms:modified>
</cp:coreProperties>
</file>